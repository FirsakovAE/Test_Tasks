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" sheetId="1" r:id="rId4"/>
  </sheets>
  <definedNames/>
  <calcPr/>
  <extLst>
    <ext uri="GoogleSheetsCustomDataVersion1">
      <go:sheetsCustomData xmlns:go="http://customooxmlschemas.google.com/" r:id="rId5" roundtripDataSignature="AMtx7mj9N6Sypgx50N5V2yMTR5GQChncrA=="/>
    </ext>
  </extLst>
</workbook>
</file>

<file path=xl/sharedStrings.xml><?xml version="1.0" encoding="utf-8"?>
<sst xmlns="http://schemas.openxmlformats.org/spreadsheetml/2006/main" count="844" uniqueCount="575">
  <si>
    <t>Общее Failed</t>
  </si>
  <si>
    <t>Общее Passed</t>
  </si>
  <si>
    <t>Дата</t>
  </si>
  <si>
    <t>Билд</t>
  </si>
  <si>
    <t>№</t>
  </si>
  <si>
    <t>Название теста</t>
  </si>
  <si>
    <t>Подход</t>
  </si>
  <si>
    <t>задача</t>
  </si>
  <si>
    <t>Приоритет</t>
  </si>
  <si>
    <t>Результат</t>
  </si>
  <si>
    <t>Предусловия</t>
  </si>
  <si>
    <t>Шаги</t>
  </si>
  <si>
    <t>Ожидаемый результат</t>
  </si>
  <si>
    <t>Header</t>
  </si>
  <si>
    <t>Логотип</t>
  </si>
  <si>
    <t>Проверка отображения логотипа при открытии раздела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</si>
  <si>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</si>
  <si>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Логотип отображается в левом верхнем углу страницы
- Логотип представляет собой зеленый чек бокс с галочкой зеленого цвета и текст IDENT балого цвета</t>
  </si>
  <si>
    <t>PASSED</t>
  </si>
  <si>
    <t>Проверка логики при наведении курсора на логотип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</si>
  <si>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</si>
  <si>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логотип</t>
  </si>
  <si>
    <t>- Курсор меняется на руку при наведении на логотип
- Нажатие доступно по всей области кнопки</t>
  </si>
  <si>
    <t>FAILED</t>
  </si>
  <si>
    <t>Проверка логики при нажатии на логотип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</si>
  <si>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</si>
  <si>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логотип сайта</t>
  </si>
  <si>
    <t>- Открылась главная страница сайта</t>
  </si>
  <si>
    <t>Проверка логики при нажатии на пространство возле логотипа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</si>
  <si>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</si>
  <si>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логотипа</t>
  </si>
  <si>
    <t>- Пространство возле логотипа не нажимается</t>
  </si>
  <si>
    <t>Текст "Работаем по всей России и СНГ"</t>
  </si>
  <si>
    <t>Проверка отображения текста "Работаем по всей России и СНГ"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</si>
  <si>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</si>
  <si>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Текст отображается правее логотипа и выровнен с ним на одном уровне
- Текст не содержит орфографических и пунктуационных ошибок</t>
  </si>
  <si>
    <t>Номер телефона</t>
  </si>
  <si>
    <t>Проверка отображения номера телефона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</si>
  <si>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</si>
  <si>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Номер телефона отображается в правой части сайта
- Номер телефона выполнен в маске 8 (nnn) nnn-nn-nn</t>
  </si>
  <si>
    <t>Проверка логики при наведении курсора на номер телефона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</si>
  <si>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</si>
  <si>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номер телефона</t>
  </si>
  <si>
    <t>- Курсор меняется на руку при наведении на номер телефона
- Нажатие доступно по всей области номера телефона</t>
  </si>
  <si>
    <t>Проверка логики при нажатии на номер телефона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</si>
  <si>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</si>
  <si>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номер телефона</t>
  </si>
  <si>
    <t>- При нажатии на номер телефона открывается окно "Выбор приложения"</t>
  </si>
  <si>
    <t>Проверка корректности номера при использовании приложения для звонка</t>
  </si>
  <si>
    <r>
      <rPr>
        <rFont val="Arial"/>
        <color theme="1"/>
      </rPr>
      <t xml:space="preserve">1) Установить Skype
2) Открыть страницу </t>
    </r>
    <r>
      <rPr>
        <rFont val="Arial"/>
        <color rgb="FF1155CC"/>
        <u/>
      </rPr>
      <t>https://dent-it.ru/clients</t>
    </r>
  </si>
  <si>
    <t>1) Нажать на номер телефона
2) Выбрать приложение Skype</t>
  </si>
  <si>
    <t>- Номер телефона в приложении соответствует номеру телефона на странице сайта</t>
  </si>
  <si>
    <t>Проверка логики при нажатии на пространство возле номера телефона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</si>
  <si>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</si>
  <si>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номера телефона</t>
  </si>
  <si>
    <t>Пространство возле номера телефона не нажимается</t>
  </si>
  <si>
    <t>Текст "Звонки по России бесплатны"</t>
  </si>
  <si>
    <t>Проверка текста "Звонки по России бесплатны"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</si>
  <si>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</si>
  <si>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Текст отображается под номером телефона и выровнен по правому краю
- Текст не содержит орфографических и пунктуационных ошибок</t>
  </si>
  <si>
    <t>Кнопки главного меню</t>
  </si>
  <si>
    <t>Проверка отображения группы кнопок главного меню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</si>
  <si>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</si>
  <si>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В группе кнопок отображаются следующие кнопки:
Главная, Продукт, Цены, Клиенты, Новости, База знаний, Контакты;
- Группа кнопок зеленого цвета;
- Группа кнопок расположены в нижней части шапки сайта и выровнены относительно друг друга;
- Группа кнопок находятся в одной выборке — одинаковые по размеру и цвету;
- Кнопка текущего раздела отличается от других в группе;
- Содержимое кнопок не выходит за её границы и выравнивается по центру;
- Текст кнопок не содержит арфографических и пунктуационных ошибок;</t>
  </si>
  <si>
    <t>Кнопка главного меню "Главная"</t>
  </si>
  <si>
    <t>Проверка логики при наведении на кнопку "Главная"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</si>
  <si>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</si>
  <si>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"Главная"</t>
  </si>
  <si>
    <t>- Кнопка меню "Главная" подсвечивается при наведении курсора;
- Курсор меняется на руку при наведении на кнопку;
- Нажатие доступно по всей области кнопки</t>
  </si>
  <si>
    <t>Проверка логики при нажатии на кнопку "Главная"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</si>
  <si>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</si>
  <si>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"Главная"</t>
  </si>
  <si>
    <t>- При нажатии вид кнопки меняется;
- Открылась главная страница сайта;
- Пункт меню "Главная" отличается от других кнопок в группе;</t>
  </si>
  <si>
    <t>Проверка логики при нажатии на пространство возле кнопки "Главная"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</si>
  <si>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</si>
  <si>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"Главная"</t>
  </si>
  <si>
    <t>Пространство возле кнопок не нажимается</t>
  </si>
  <si>
    <t>Кнопка главного меню "Продукт"</t>
  </si>
  <si>
    <t>Проверка логики при наведении на кнопку "Продукт"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</si>
  <si>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</si>
  <si>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"Продукт"</t>
  </si>
  <si>
    <t>- Кнопка меню "Продукт" подсвечивается при наведении курсора;
- Курсор меняется на руку при наведении на кнопку;
- Нажатие доступно по всей области кнопки</t>
  </si>
  <si>
    <t>Проверка логики при нажатии на кнопку "Продукт"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</si>
  <si>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</si>
  <si>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"Продукт"</t>
  </si>
  <si>
    <t>- При нажатии вид кнопки меняется;
- Открылась страница продукта;
- Пункт меню "Продукт" отличается от других кнопок в группе;</t>
  </si>
  <si>
    <t>Проверка логики при нажатии на пространство возле кнопки "Продукт"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</si>
  <si>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</si>
  <si>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"Продукт"</t>
  </si>
  <si>
    <t>Кнопка главного меню "Цены"</t>
  </si>
  <si>
    <t>Проверка логики при наведении на кнопку "Цены"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</si>
  <si>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</si>
  <si>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"Цены"</t>
  </si>
  <si>
    <t>- Кнопка меню "Цены" подсвечивается при наведении курсора;
- Курсор меняется на руку при наведении на кнопку;
- Нажатие доступно по всей области кнопки</t>
  </si>
  <si>
    <t>Проверка логики при нажатии на кнопку "Цены"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</si>
  <si>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</si>
  <si>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"Цены"</t>
  </si>
  <si>
    <t>- При нажатии вид кнопки меняется;
- Открылась страница с ценами;
- Пункт меню "Главная" отличается от других кнопок в группе;</t>
  </si>
  <si>
    <t>Проверка логики при нажатии на пространство возле кнопки "Цены"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</si>
  <si>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</si>
  <si>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"Цены"</t>
  </si>
  <si>
    <t>Кнопка главного меню "Клиенты"</t>
  </si>
  <si>
    <t>Проверка логики при наведении на кнопку "Клиенты"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</si>
  <si>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</si>
  <si>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"Клиенты"</t>
  </si>
  <si>
    <t>- Курсор меняется на руку при наведении на кнопку;
- Нажатие доступно по всей области кнопки</t>
  </si>
  <si>
    <t>Проверка логики при нажатии на кнопку "Клиенты"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</si>
  <si>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</si>
  <si>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"Клиенты"</t>
  </si>
  <si>
    <t>- Страница "Клиенты" была обновлена;
- Пункт меню "Главная" отличается от других кнопок в группе;</t>
  </si>
  <si>
    <t>Проверка логики при нажатии на пространство возле кнопки "Клиенты"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</si>
  <si>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</si>
  <si>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"Клиенты"</t>
  </si>
  <si>
    <t>Кнопка главного меню "Новости"</t>
  </si>
  <si>
    <t>Проверка логики при наведении на кнопку "Новости"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</si>
  <si>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</si>
  <si>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"Новости"</t>
  </si>
  <si>
    <t>- Кнопка меню "Новости" подсвечивается при наведении курсора;
- Курсор меняется на руку при наведении на кнопку;
- Нажатие доступно по всей области кнопки</t>
  </si>
  <si>
    <t>Проверка логики при нажатии на кнопку "Новости"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</si>
  <si>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</si>
  <si>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"Новости"</t>
  </si>
  <si>
    <t>- При нажатии вид кнопки меняется;
- Открылась новостная страница;
- Пункт меню "Новости" отличается от других кнопок в группе;</t>
  </si>
  <si>
    <t>Проверка логики при нажатии на пространство возле кнопки "Новости"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</si>
  <si>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</si>
  <si>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"Новости"</t>
  </si>
  <si>
    <t>Кнопка главного меню "База знаний"</t>
  </si>
  <si>
    <t>Проверка логики при наведении на кнопку "База знаний"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</si>
  <si>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</si>
  <si>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"База знаний"</t>
  </si>
  <si>
    <t>- Кнопка меню "База знаний" подсвечивается при наведении курсора;
- Курсор меняется на руку при наведении на кнопку;
- Нажатие доступно по всей области кнопки</t>
  </si>
  <si>
    <t>Проверка логики при нажатии на кнопку "База знаний"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</si>
  <si>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</si>
  <si>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"База знаний"</t>
  </si>
  <si>
    <t>- При нажатии вид кнопки меняется;
- Открылась страница с базой знаний;</t>
  </si>
  <si>
    <t>Проверка логики принажатии на пространство возле кнопки "База знаний"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</si>
  <si>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</si>
  <si>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"База знаний"</t>
  </si>
  <si>
    <t>Кнопка главного меню "Контакты"</t>
  </si>
  <si>
    <t>Проверка логики при наведении на кнопку "Контакты"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</si>
  <si>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</si>
  <si>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"Контакты"</t>
  </si>
  <si>
    <t>- Кнопка меню "Контакты" подсвечивается при наведении курсора;
- Курсор меняется на руку при наведении на кнопку;
- Нажатие доступно по всей области кнопки</t>
  </si>
  <si>
    <t>Проверка логики при нажатии на кнопку "Контакты"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</si>
  <si>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</si>
  <si>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"Контакты"</t>
  </si>
  <si>
    <t>- При нажатии вид кнопки меняется;
- Открылась страница с контактами;
- Пункт меню "Контакты" отличается от других кнопок в группе;</t>
  </si>
  <si>
    <t>Проверка логики при нажатии на пространство возле кнопки "Контакты" при выбранном разделе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</si>
  <si>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</si>
  <si>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"Контакты"</t>
  </si>
  <si>
    <t>Кнопка "Демоверсия"</t>
  </si>
  <si>
    <t>Проверка отображения кнопки "Демоверсия"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</si>
  <si>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</si>
  <si>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Кнопка "Демоверсия" расположена под текстом "Звонки по России бесплатны" и выровнена относительно группы кнопок меню
- Кнопка "Демоверсия" оранжевого цвета
- Содержимое кнопки корректно отображается и не выходит за ее границы
- Текст кнопки не содержит орфаграфических и пунктуационных ошибок</t>
  </si>
  <si>
    <t>Проверка логики при наведении на кнопку "Демоверсия"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</si>
  <si>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</si>
  <si>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"Демоверсия"</t>
  </si>
  <si>
    <t>- Вид кнопки меняется при наведении
- Курсор меняется на руку при наведении
- Нажатие доступно по всей области кнопки</t>
  </si>
  <si>
    <t>Проверка логики при нажатии на кнопку "Демоверсия"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</si>
  <si>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</si>
  <si>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"Демоверсия"</t>
  </si>
  <si>
    <t>- Вид кнопки меняется при нажатии
- Открылось модальное окно анкеты</t>
  </si>
  <si>
    <t>Проверка логики при нажатии на пространство возле кнопки "Демоверсия"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</si>
  <si>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</si>
  <si>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"Демоверсия"</t>
  </si>
  <si>
    <t>Body</t>
  </si>
  <si>
    <t>Текст заголовка страницы</t>
  </si>
  <si>
    <t>Проверка отображения заголовка страницы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</si>
  <si>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</si>
  <si>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Текст заголовка расположен под хеддером и выровнен по центру
- Текст заголовка не содержит арфографических и пунктуационных ошибок</t>
  </si>
  <si>
    <t>Основной текст "...пользуются IDENT"</t>
  </si>
  <si>
    <t>Проверка отображения основого текста страницы и логики работы счетчика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</si>
  <si>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</si>
  <si>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Текст расположен под текстом заголовка страницы и выровнен по центру
- Текст заголовка не содержит арфографических и пунктуационных ошибок
- Счетчик стамотологий соответствует информации о клиентах в списках</t>
  </si>
  <si>
    <t>Виджет "Демоверсия"</t>
  </si>
  <si>
    <t>Проверка отображения виджета "Демоверсия"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</si>
  <si>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</si>
  <si>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Виджет отображается в левой части страницы;
- Виджет содержит зеленую картинку с монитором и текстом Демоверсия, текст "Вы можете скачать...", Кнопку "Загрузить" рыжего цвета;
- Содержимое виджета не содержит арфографических и пунктуационных ошибок;</t>
  </si>
  <si>
    <t>Проверка логики работ виджета "Демоверсия" при скролле страницы сверху-вниз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</si>
  <si>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</si>
  <si>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Проскроллить страницу вниз до конца</t>
  </si>
  <si>
    <t>- Виджет закрепляется в верхней части страницы
- Виджет останавливается в конце списка регионов</t>
  </si>
  <si>
    <t>Проверка логики работ виджета "Демоверсия" при скролле страницы снизу-вверх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</si>
  <si>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</si>
  <si>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вниз до конца
2) Проскролить страницу вверх до конца</t>
  </si>
  <si>
    <t>- Виджет закрепляется в верхней части страницы
- Виджет останавливается напротив текста "Наши клиенты..."</t>
  </si>
  <si>
    <t>Кнопка "Загрузить" (Виджет "Демоверсия")</t>
  </si>
  <si>
    <t>Проверка логики при наведении на кнопку "Загрузить"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</si>
  <si>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</si>
  <si>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Навести курсор на кнопку "Загрузить"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</si>
  <si>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</si>
  <si>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кнопку "Загрузить"</t>
  </si>
  <si>
    <t>Проверка логики при нажатии на пространство возле кнопки "Загрузить"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</si>
  <si>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</si>
  <si>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Нажать на пространство возле кнопки "Загрузить"</t>
  </si>
  <si>
    <t>Кнопки изменения масштаба карты</t>
  </si>
  <si>
    <t>Проверка отображения кнопок изменения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</si>
  <si>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</si>
  <si>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</t>
  </si>
  <si>
    <t>- Кнопки изменения масштаба расположены в левом верхнем углу карты
- Символ внутри кнопки доступной для нажатия - белого цвета
- Не доступная для нажатия кнопка отличается от доступной</t>
  </si>
  <si>
    <t>Проверка работы кнопки увеличения масштаба</t>
  </si>
  <si>
    <t>Проверка логики при наведении на активную кнопку увеличения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</si>
  <si>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</si>
  <si>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Навести на кнопку "+"</t>
  </si>
  <si>
    <t>- Кнопка увеличения масштаба подсвечивается при наведении курсора;
- Курсор меняется на руку при наведении на кнопку;
- Нажатие доступно по всей области кнопки</t>
  </si>
  <si>
    <t>Проверка логики при нажатии на активную кнопку увеличения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</si>
  <si>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</si>
  <si>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кнопку "+"</t>
  </si>
  <si>
    <t>- Нажатие на кнопку + ведет к увеличению карты;
- При нажатии вид кнопки меняется;
- Карта корректно отображается</t>
  </si>
  <si>
    <t>Проверка логики при нажатии на кнопку увеличения масштаба 3 раза</t>
  </si>
  <si>
    <t>1) Проскролить страницу до полного отображения карты
2) Нажать на кнопку "+" 3 раза</t>
  </si>
  <si>
    <t xml:space="preserve">- Карта была увеличена в 3 раза;
- Карта корректно отображается;
- Кнопка стала недоступна;
</t>
  </si>
  <si>
    <t>Проверка логики при наведении на не активную кнопку увеличения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</si>
  <si>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</si>
  <si>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кнопку "+" 3 раза
3) Навести курсор на кнопку "+"</t>
  </si>
  <si>
    <t>- Курсор меняется на руку при наведении по всей площади кнопки;</t>
  </si>
  <si>
    <t>Проверка логики при нажатии на кнопку увеличения масштаба 4 раза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</si>
  <si>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</si>
  <si>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кнопку "+" 4 раза
3) Навести курсор на кнопку "+"</t>
  </si>
  <si>
    <t>- Масштаб карты был увеличен в 3 раза
- Дальнейшее увеличение карты не доступно</t>
  </si>
  <si>
    <t>Проверка логики при нажатии на пространство возле кнопки увеличения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</si>
  <si>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</si>
  <si>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пространство возле кнопки "+"</t>
  </si>
  <si>
    <t>- Пространство возле кнопок не нажимается</t>
  </si>
  <si>
    <t>Проверка работы кнопки уменьшения масштаба</t>
  </si>
  <si>
    <t>Проверка наведения на активную кнопку уменьшения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</si>
  <si>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</si>
  <si>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Навести на кнопку "-"</t>
  </si>
  <si>
    <t>- Кнопка уменьшения масштаба подсвечивается при наведении курсора;
- Курсор меняется на руку при наведении на кнопку;
- Нажатие доступно по всей области кнопки</t>
  </si>
  <si>
    <t>Проверка нажатия на активную кнопку уменьшения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</si>
  <si>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</si>
  <si>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кнопку "+"
3) Нажать на кнопку "-"</t>
  </si>
  <si>
    <t>- Нажатие на кнопку - ведет к уменьшению карты;
- При нажатии вид кнопки меняется;
- Карта корректно отображается</t>
  </si>
  <si>
    <t>Проверка наведения на не активную кнопку уменьшения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</si>
  <si>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</si>
  <si>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нажатия на не активную кнопку уменьшения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</si>
  <si>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</si>
  <si>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кнопку "-"</t>
  </si>
  <si>
    <t>- Масштаб карты не изменился</t>
  </si>
  <si>
    <t>Проверка логики при нажатии на пространство возле кнопки уменьшения масштаба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</si>
  <si>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</si>
  <si>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пространство возле кнопки "-"</t>
  </si>
  <si>
    <t>Интерактивная карта</t>
  </si>
  <si>
    <t>Проверка отображения карты на странице в стартовом состоянии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</si>
  <si>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</si>
  <si>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Карта корректно отображается под текстом "Наши клиенты на карте..."</t>
  </si>
  <si>
    <t>Проверка отображения карты на странице в увеличенном масштабе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</si>
  <si>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</si>
  <si>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кнопку +</t>
  </si>
  <si>
    <t>Проверка возможности перемещения карты после увеличения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</si>
  <si>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</si>
  <si>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кнопку +
3) Удерживая ЛКМ на карте потянуть в сторону</t>
  </si>
  <si>
    <t>- Карту можно перемещать, если не все ее элементы отображаются</t>
  </si>
  <si>
    <t>Проверка логики при наведении на зеленый регион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</si>
  <si>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</si>
  <si>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Навести курсор на зеленый регион</t>
  </si>
  <si>
    <t>- Регион попавший в фокус подсвечивается
- Курсор меняется на руку при наведении
- Появляется всплывающая подсказка hint
- Нажатие доступно по всей области кнопки</t>
  </si>
  <si>
    <t>Проверка логики при нажатии на зеленый регион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</si>
  <si>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</si>
  <si>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зеленый регион</t>
  </si>
  <si>
    <t>- Развернулся соотвествующий регион из списка
- Заголовок региона расположен в верхней части экрана
- Регион выделен цветом на карте</t>
  </si>
  <si>
    <t>Проверка логики при наведении на желтый регион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</si>
  <si>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</si>
  <si>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Навести курсор на желтый регион</t>
  </si>
  <si>
    <t>Проверка логики при нажатии на желтый регион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</si>
  <si>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</si>
  <si>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желтый регион</t>
  </si>
  <si>
    <t>Проверка логики при наведении на серый регион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</si>
  <si>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</si>
  <si>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Навести курсор на серый регион</t>
  </si>
  <si>
    <t>- Курсор меняется на руку при наведении
- Появляется всплывающая подсказка hint
- Нажатие доступно по всей области кнопки</t>
  </si>
  <si>
    <t>Проверка логики при нажатии на серый регион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</si>
  <si>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</si>
  <si>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серый регион</t>
  </si>
  <si>
    <t>- Регион не был выбран</t>
  </si>
  <si>
    <t>Проверка логики при смене регионов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</si>
  <si>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</si>
  <si>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Нажать на зеленый регион
3) Проскролить страницу вверх до карты
4) Нажать на другой регион</t>
  </si>
  <si>
    <t>Hint региона на карте</t>
  </si>
  <si>
    <t>Проверка отображения всплывающей подсказки hint на карте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</si>
  <si>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</si>
  <si>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полного отображения карты
2) Навести курсор на любой регион</t>
  </si>
  <si>
    <t>- Для каждого региона на карте всплывает корректная надпись;
- Всплывающая подсказка не должна перекрывать свой элемент
- Текст всплывающей подсказки не содержит арфографических и пунктуационных ошибок</t>
  </si>
  <si>
    <t>Список регионов</t>
  </si>
  <si>
    <t>Проверка отображения списка регионов в свернутом состоянии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</si>
  <si>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</si>
  <si>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 xml:space="preserve">1) Проскролить страницу до отображения списка регионов
</t>
  </si>
  <si>
    <t>- Регионы отсортированы в алфавитном порядке
- Каждый регион представляет собой белую кнопку с зелной рамкой
- Кнопка состоит из:
Названия региона в левой части кнопки,
текста Развернуть в правой половине
и счетчика компаний в правой части кнопки
- Все элементы выровнены и не выходят за пределы кнопок
- Все кнопки в одной выборке</t>
  </si>
  <si>
    <t>Проверка логики при наведении курсора на кнопку выбора региона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</si>
  <si>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</si>
  <si>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Навести курсор на панель региона</t>
  </si>
  <si>
    <t>Проверка логики при нажатии на кнопку региона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</si>
  <si>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</si>
  <si>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</t>
  </si>
  <si>
    <t>- Открылся список компаний в данном регионе
- Заголовок региона расположен в верхней части экрана
- Количество компаний соответсвует значению счетчика</t>
  </si>
  <si>
    <t>Проверка логики при нажатии на кнопку региона если был открыт регион ниже по списку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</si>
  <si>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</si>
  <si>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
3) Проскролить вниз до не развернутых списков регионов
4) Выбрать другой регион</t>
  </si>
  <si>
    <t>- Открылся список компаний в выбранном регионе
- Заголовок региона расположен в верхней части экрана
- Количество компаний соответсвует значению счетчика
- Предыдущий регион закрылся</t>
  </si>
  <si>
    <t>Проверка логики при нажатии на кнопку региона если был открыт регион выше по списку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</si>
  <si>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</si>
  <si>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
3) Проскролить вверх до не развернутых списков регионов
4) Выбрать другой регион</t>
  </si>
  <si>
    <t>Проверка логики при нажатии на пространство возле кнопки панели региона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</si>
  <si>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</si>
  <si>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пространство возле панели региона</t>
  </si>
  <si>
    <t>Пространство возле панели не нажимается</t>
  </si>
  <si>
    <t>Список компаний</t>
  </si>
  <si>
    <t>Проверка отображения содержимого списка компаний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</si>
  <si>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</si>
  <si>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Поле компании состоит из:
1) Названия компании
2) Адреса компании
3) Гиперссылки
4) Логотипа компании либо заглушки
5) Поля "Отзыв" - не обязательное
- Текст поля не содержит арфографических и пунктуационных ошибок
Все элементы одинаковые по дизайну и расположению</t>
  </si>
  <si>
    <t>Проверка логики при наведении на ссылку компании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</si>
  <si>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</si>
  <si>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
3) Навести курсор на ссылку компании</t>
  </si>
  <si>
    <t>- Курсор меняется на руку при наведении на ссылку;
- Нажатие доступно по всей области ссылки</t>
  </si>
  <si>
    <t>Проверка нажатия на ссылку компании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</si>
  <si>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</si>
  <si>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
3) Нажать на ссылку компании</t>
  </si>
  <si>
    <t>- Открылась страница по ссылке
- При нажатии на ссылку её вид меняется
ссылки одинаковые по дизайну</t>
  </si>
  <si>
    <t>Проверка логики при нажатии на пространство возле ссылки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</si>
  <si>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</si>
  <si>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
3) Нажать на пространство возле ссылки компании</t>
  </si>
  <si>
    <t>Проверка логики при наведении на Отзыв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</si>
  <si>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</si>
  <si>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
3) Навести на Отзыв</t>
  </si>
  <si>
    <t>- Курсор меняется на руку при наведении на ссылку;
- Нажатие доступно по всей области</t>
  </si>
  <si>
    <t>Проверка логики при нажатии на Отзыв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</si>
  <si>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</si>
  <si>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
3) Нажать на Отзыв</t>
  </si>
  <si>
    <t>- Ссылка спустилась ниже
- На ее месте отобразился текст отзыва</t>
  </si>
  <si>
    <t>Проверка логики при нажатии на пространство возле Отзыва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</si>
  <si>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</si>
  <si>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списка регионов
2) Нажать на панель региона
3) Нажать на пространство возле Отзыва</t>
  </si>
  <si>
    <t>Footter</t>
  </si>
  <si>
    <t>Группа кнопок навигации</t>
  </si>
  <si>
    <t>Проверка отображения кнопок навигации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</si>
  <si>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</si>
  <si>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 xml:space="preserve">1) Проскролить страницу до отображения подвала сайта
</t>
  </si>
  <si>
    <t>- Кнопки в одной выборке
- Кнопки выровнены относительно друг друга и по левому краю
- Группа кнопок состоит из:
Главная, Продукт и цены, Клиенты, Новости, Этапы покупки, Выставки. Отзывы, Партнеры, База знаний, Контакты</t>
  </si>
  <si>
    <t>Кнопка "Главная"</t>
  </si>
  <si>
    <t>Проверка отображения кнопки "Главная"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</si>
  <si>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</si>
  <si>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Текст кнопки не содержит арфографических ошибок</t>
  </si>
  <si>
    <t>Проверка логики при наведении на кнопку "Главная"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</si>
  <si>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</si>
  <si>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"Главная"</t>
  </si>
  <si>
    <t>- Курсор меняется на руку при наведении на кнопку;
- Нажатие доступно по всей области кнопки
- Текст кнопки подчеркнут</t>
  </si>
  <si>
    <t>Проверка логики при нажатии на кнопку "Главная"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</si>
  <si>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</si>
  <si>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"Главная"</t>
  </si>
  <si>
    <t>Проверка логики при нажатии на пространство возле кнопки "Главная"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</si>
  <si>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</si>
  <si>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"Главная"</t>
  </si>
  <si>
    <t>Кнопка "Продукт и цены"</t>
  </si>
  <si>
    <t>Проверка отображения кнопки "Продукт и цены"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</si>
  <si>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</si>
  <si>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"Продукт и цены"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</si>
  <si>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</si>
  <si>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"Продукт и цены"</t>
  </si>
  <si>
    <t>Проверка логики при нажатии на кнопку "Продукт и цены"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</si>
  <si>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</si>
  <si>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"Продукт и цены"</t>
  </si>
  <si>
    <t>- Открылась страница Продукт и цены</t>
  </si>
  <si>
    <t>Проверка логики при нажатии на пространство возле кнопки "Продукт и цены"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</si>
  <si>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</si>
  <si>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"Продукт и цены"</t>
  </si>
  <si>
    <t>Кнопка "Клиенты"</t>
  </si>
  <si>
    <t>Проверка отображения кнопки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</si>
  <si>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</si>
  <si>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</si>
  <si>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</si>
  <si>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"Клиенты"</t>
  </si>
  <si>
    <t>Проверка логики при нажатии на кнопку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</si>
  <si>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</si>
  <si>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"Клиенты"</t>
  </si>
  <si>
    <t>- Страница "Клиенты" была обновлена;</t>
  </si>
  <si>
    <t>Проверка логики при нажатии на пространство возле кнопки "Клиенты"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</si>
  <si>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</si>
  <si>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"Клиенты"</t>
  </si>
  <si>
    <t>Кнопка "Новости"</t>
  </si>
  <si>
    <t>Проверка отображения кнопки "Новости"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</si>
  <si>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</si>
  <si>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"Новости"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</si>
  <si>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</si>
  <si>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"Новости"</t>
  </si>
  <si>
    <t>Проверка логики при нажатии на кнопку "Новости"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</si>
  <si>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</si>
  <si>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"Новости"</t>
  </si>
  <si>
    <t>- Открылась страница "Новости"</t>
  </si>
  <si>
    <t>Проверка логики при нажатии на пространство возле кнопки "Новости"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</si>
  <si>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</si>
  <si>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"Новости"</t>
  </si>
  <si>
    <t>Кнопка "Этапы покупки"</t>
  </si>
  <si>
    <t>Проверка отображения кнопки "Этапы покупки"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</si>
  <si>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</si>
  <si>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"Этапы покупки"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</si>
  <si>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</si>
  <si>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"Этапы покупки"</t>
  </si>
  <si>
    <t>Проверка логики при нажатии на кнопку "Этапы покупки"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</si>
  <si>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</si>
  <si>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"Этапы покупки"</t>
  </si>
  <si>
    <t>- Открылась страница с этапами покупки</t>
  </si>
  <si>
    <t>Проверка логики при нажатии на пространство возле кнопки "Этапы покупки"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</si>
  <si>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</si>
  <si>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"Этапы покупки"</t>
  </si>
  <si>
    <t>Кнопка "Выставки"</t>
  </si>
  <si>
    <t>Проверка отображения кнопки "Выставки"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</si>
  <si>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</si>
  <si>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"Выставки"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</si>
  <si>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</si>
  <si>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"Выставки"</t>
  </si>
  <si>
    <t>Проверка логики при нажатии на кнопку "Выставки"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</si>
  <si>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</si>
  <si>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"Выставки"</t>
  </si>
  <si>
    <t>Открылась страница "Выставки"</t>
  </si>
  <si>
    <t>Проверка логики при нажатии на пространство возле кнопки "Выставки"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</si>
  <si>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</si>
  <si>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"Выставки"</t>
  </si>
  <si>
    <t>Кнопка "Отзывы"</t>
  </si>
  <si>
    <t>Проверка отображения кнопки "Отзывы"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</si>
  <si>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</si>
  <si>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"Отзывы"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</si>
  <si>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</si>
  <si>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"Отзывы"</t>
  </si>
  <si>
    <t>Проверка логики при нажатии на кнопку "Отзывы"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</si>
  <si>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</si>
  <si>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"Отзывы"</t>
  </si>
  <si>
    <t>Открылась страница "Отзывы"</t>
  </si>
  <si>
    <t>Проверка логики при нажатии на пространство возле кнопки "Отзывы"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</si>
  <si>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</si>
  <si>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"Отзывы"</t>
  </si>
  <si>
    <t>Кнопка "Партнеры"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</si>
  <si>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</si>
  <si>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"Партнеры"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</si>
  <si>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</si>
  <si>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"Партнеры"</t>
  </si>
  <si>
    <t>Проверка логики при нажатии на кнопку "Партнеры"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</si>
  <si>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</si>
  <si>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"Партнеры"</t>
  </si>
  <si>
    <t>Проверка логики при нажатии на пространство возле кнопки "Партнеры"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</si>
  <si>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</si>
  <si>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"Партнеры"</t>
  </si>
  <si>
    <t>Кнопка "База знаний"</t>
  </si>
  <si>
    <t>Проверка отображения кнопки "База знаний"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</si>
  <si>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</si>
  <si>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"База знаний"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</si>
  <si>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</si>
  <si>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"База знаний"</t>
  </si>
  <si>
    <t>Проверка логики при нажатии на кнопку "База знаний"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</si>
  <si>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</si>
  <si>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"База знаний"</t>
  </si>
  <si>
    <t>Проверка логики при нажатии на пространство возле кнопки "База знаний"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</si>
  <si>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</si>
  <si>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"База знаний"</t>
  </si>
  <si>
    <t>Кнопка "Контакты"</t>
  </si>
  <si>
    <t>Проверка отображения кнопки "Контакты"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</si>
  <si>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</si>
  <si>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на кнопку "Контакты"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</si>
  <si>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</si>
  <si>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"Контакты"</t>
  </si>
  <si>
    <t>Проверка логики при нажатии на кнопку "Контакты"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</si>
  <si>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</si>
  <si>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"Контакты"</t>
  </si>
  <si>
    <t>Проверка логики при нажатии на пространство возле кнопки "Контакты"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</si>
  <si>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</si>
  <si>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"Контакты"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</si>
  <si>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</si>
  <si>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Кнопка "Демоверсия" расположена справа от группы кнопок навигации
- Кнопка "Демоверсия" оранжевого цвета
- Содержимое кнопки корректно отображается и не выходит за ее границы
- Текст кнопки не содержит орфаграфических и пунктуационных ошибок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</si>
  <si>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</si>
  <si>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"Демоверсия"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</si>
  <si>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</si>
  <si>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"Демоверсия"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</si>
  <si>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</si>
  <si>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"Демоверсия"</t>
  </si>
  <si>
    <t>Текст ООО "АЙДЕНТ", 2010-2023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</si>
  <si>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</si>
  <si>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 xml:space="preserve">1) Проскролить страницу до отображения подвала сайт
</t>
  </si>
  <si>
    <t>- Текст расположен под группой кнопок навигации и выровнен по левому краю
- Текст заголовка не содержит арфографических и пунктуационных ошибок</t>
  </si>
  <si>
    <t>Текст "IDENT - компьютерная программа для управления стоматологией"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</si>
  <si>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</si>
  <si>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Текст расположен под текстом ООО "АЙДЕН"
- Текст заголовка не содержит арфографических и пунктуационных ошибок</t>
  </si>
  <si>
    <t>Текст "Мы в социальных сетях:"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</si>
  <si>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</si>
  <si>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Текст заголовка расположен справа от текста ООО "АЙДЕН"
- Текст заголовка не содержит арфографических и пунктуационных ошибок</t>
  </si>
  <si>
    <t>Группа кнопок социальных сетей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</si>
  <si>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</si>
  <si>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</t>
  </si>
  <si>
    <t>- В группе кнопок отображаются следующие кнопки:
VK, YouTube, SK
- Группа выполнены в виде иконок социальных сетей;
- Группа кнопок расположены под текстом "Мы в социальных сетях"
- Группа кнопок находятся на одном уровне;
- Группа кнопок находятся в одной выборке — одинаковые по размеру;</t>
  </si>
  <si>
    <t>Кнопка "VK"</t>
  </si>
  <si>
    <t>Проверка логики при наведении на кнопку "VK"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</si>
  <si>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</si>
  <si>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"VK"</t>
  </si>
  <si>
    <t>Проверка логики при нажатии на кнопку "VK"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</si>
  <si>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</si>
  <si>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"VK"</t>
  </si>
  <si>
    <t>- Открылась страница IDENT в VK</t>
  </si>
  <si>
    <t>Проверка логики при нажатии на пространство возле кнопки "VK"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</si>
  <si>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</si>
  <si>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"VK"</t>
  </si>
  <si>
    <t>Кнопка "Youtube"</t>
  </si>
  <si>
    <t>Проверка логики при наведении на кнопку "YouTube"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</si>
  <si>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</si>
  <si>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"YouTube"</t>
  </si>
  <si>
    <t>Проверка логики при нажатии на кнопку "YouTube"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</si>
  <si>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</si>
  <si>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"YouTube"</t>
  </si>
  <si>
    <t>- Открылась страница IDENT в YouTube</t>
  </si>
  <si>
    <t>Проверка логики при нажатии на пространство возле кнопки "YouTube"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</si>
  <si>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</si>
  <si>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"YouTube"</t>
  </si>
  <si>
    <t>Кнопка "SK"</t>
  </si>
  <si>
    <t>Проверка логики при наведении на кнопку "SK"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</si>
  <si>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</si>
  <si>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Навести курсор на кнопку "SK"</t>
  </si>
  <si>
    <t>Проверка логики при нажатии на кнопку "SK"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</si>
  <si>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</si>
  <si>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кнопку "SK"</t>
  </si>
  <si>
    <t>- Открылась страница IDENT в SK</t>
  </si>
  <si>
    <t>Проверка логики при нажатии на пространство возле кнопки "SK"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</si>
  <si>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</si>
  <si>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сайта
2) Нажать на пространство возле кнопки "SK"</t>
  </si>
  <si>
    <t>Номер телефона России</t>
  </si>
  <si>
    <t>Проверка отображения номера телефона России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</si>
  <si>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</si>
  <si>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курсора на номер телефона России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</si>
  <si>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</si>
  <si>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Навести курсор на номер телефона России</t>
  </si>
  <si>
    <t>Проверка логики при нажатии на номер телефона России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</si>
  <si>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</si>
  <si>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номер телефона России</t>
  </si>
  <si>
    <t>Проверка корректности номера России при использовании приложения в футере сайта</t>
  </si>
  <si>
    <r>
      <rPr>
        <rFont val="Arial"/>
        <color theme="1"/>
      </rPr>
      <t xml:space="preserve">1) Установить Skype
2)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</si>
  <si>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номер телефона России
3) Выбрать приложение Skype</t>
  </si>
  <si>
    <t>Проверка логики при нажатии на пространство возле номера телефона России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</si>
  <si>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</si>
  <si>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пространство возле номера телефона России</t>
  </si>
  <si>
    <t>Пространство возле номера телефона</t>
  </si>
  <si>
    <t>Номер телефона Петербурга</t>
  </si>
  <si>
    <t>Проверка отображения номера телефона Петербурга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</si>
  <si>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</si>
  <si>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Проверка логики при наведении курсора на номер телефона Петербурга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</si>
  <si>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</si>
  <si>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Навести курсор на номер телефона Петербурга</t>
  </si>
  <si>
    <t>Проверка логики при нажатии на номер телефона Петербурга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</si>
  <si>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</si>
  <si>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номер телефона Петербурга</t>
  </si>
  <si>
    <t>Проверка корректности номера Петербурга при использовании приложения в футере сайта</t>
  </si>
  <si>
    <r>
      <rPr>
        <rFont val="Arial"/>
        <color theme="1"/>
      </rPr>
      <t xml:space="preserve">1) Установить Skype
2)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</si>
  <si>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номер телефона Петербурга
3) Выбрать приложение Skype</t>
  </si>
  <si>
    <t>Проверка логики при нажатии на пространство возле номера телефона Петербурга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</si>
  <si>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</si>
  <si>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пространство возле номера телефона Петербурга</t>
  </si>
  <si>
    <t>Номер телефона Казахстана</t>
  </si>
  <si>
    <t>Проверка отображения номера телефона Казахстана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</si>
  <si>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</si>
  <si>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Номер телефона отображается в правой части сайта
- Номер телефона выполнен в маске 8 (nnnn) nnn-nn-nn</t>
  </si>
  <si>
    <t>Проверка логики при наведении курсора на номер телефона Казахстана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</si>
  <si>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</si>
  <si>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Навести курсор на номер телефона Казахстана</t>
  </si>
  <si>
    <t>Проверка логики при нажатии на номер телефона Казахстана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</si>
  <si>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</si>
  <si>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номер телефона Казахстана</t>
  </si>
  <si>
    <t>Проверка корректности номера Казахстана при использовании приложения в футере сайта</t>
  </si>
  <si>
    <r>
      <rPr>
        <rFont val="Arial"/>
        <color theme="1"/>
      </rPr>
      <t xml:space="preserve">1) Установить Skype
2)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</si>
  <si>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номер телефона Казахстана
3) Выбрать приложение Skype</t>
  </si>
  <si>
    <t>Проверка логики при нажатии на пространство возле номера телефона Казахстана в футере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</si>
  <si>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</si>
  <si>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1) Проскролить страницу до отображения подвала сайт
2) Нажать на пространство возле номера телефона Казахстана</t>
  </si>
  <si>
    <t>Текст - Дизайн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</si>
  <si>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</si>
  <si>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Текст заголовка расположен под номерами телефонов
- Текст заголовка не содержит арфографических и пунктуационных ошибок</t>
  </si>
  <si>
    <t>Ссылка на разработчика дизайна сайта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</si>
  <si>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</si>
  <si>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</si>
  <si>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- Открылась страница по ссылке</t>
  </si>
  <si>
    <r>
      <rPr>
        <rFont val="Arial"/>
        <color theme="1"/>
      </rPr>
      <t xml:space="preserve">1) Открыть страницу </t>
    </r>
    <r>
      <rPr>
        <rFont val="Arial"/>
        <color rgb="FF1155CC"/>
        <u/>
      </rPr>
      <t>https://dent-it.ru/clients</t>
    </r>
  </si>
  <si>
    <t>Пространство возле ссылки не нажимается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</si>
</sst>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rgb="FFFFFFFF"/>
      <name val="Arial"/>
    </font>
    <font/>
    <font>
      <b/>
      <color rgb="FF000000"/>
      <name val="Arial"/>
    </font>
    <font>
      <u/>
      <color theme="1"/>
      <name val="Arial"/>
    </font>
    <font>
      <u/>
      <color rgb="FF0000FF"/>
    </font>
    <font>
      <u/>
      <color rgb="FF0000FF"/>
    </font>
    <font>
      <u/>
      <color theme="1"/>
      <name val="Arial"/>
    </font>
    <font>
      <color rgb="FF000000"/>
      <name val="Arial"/>
    </font>
    <font>
      <sz val="8.0"/>
      <color theme="1"/>
      <name val="Arial"/>
      <scheme val="minor"/>
    </font>
    <font>
      <sz val="8.0"/>
      <color rgb="FF1A1A1A"/>
      <name val="&quot;PT Sans&quot;"/>
    </font>
    <font>
      <color rgb="FF2C3945"/>
      <name val="&quot;PT Sans&quot;"/>
    </font>
    <font>
      <color rgb="FF959CA2"/>
      <name val="&quot;PT Sans&quot;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1155CC"/>
        <bgColor rgb="FF1155CC"/>
      </patternFill>
    </fill>
    <fill>
      <patternFill patternType="solid">
        <fgColor rgb="FFB7E1CD"/>
        <bgColor rgb="FFB7E1CD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shrinkToFit="0" wrapText="1"/>
    </xf>
    <xf borderId="2" fillId="2" fontId="1" numFmtId="0" xfId="0" applyBorder="1" applyFont="1"/>
    <xf borderId="0" fillId="2" fontId="2" numFmtId="0" xfId="0" applyFont="1"/>
    <xf borderId="3" fillId="0" fontId="1" numFmtId="0" xfId="0" applyBorder="1" applyFont="1"/>
    <xf borderId="3" fillId="0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vertical="center" wrapText="1"/>
    </xf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3" fontId="3" numFmtId="0" xfId="0" applyAlignment="1" applyBorder="1" applyFill="1" applyFont="1">
      <alignment horizontal="center" vertical="center"/>
    </xf>
    <xf borderId="8" fillId="3" fontId="3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8" fillId="3" fontId="3" numFmtId="0" xfId="0" applyAlignment="1" applyBorder="1" applyFont="1">
      <alignment horizontal="center" textRotation="180" vertical="center"/>
    </xf>
    <xf borderId="8" fillId="3" fontId="1" numFmtId="0" xfId="0" applyAlignment="1" applyBorder="1" applyFont="1">
      <alignment horizontal="center" vertical="center"/>
    </xf>
    <xf borderId="0" fillId="3" fontId="5" numFmtId="0" xfId="0" applyAlignment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9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6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vertical="center"/>
    </xf>
    <xf borderId="3" fillId="4" fontId="2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3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readingOrder="0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vertical="center"/>
    </xf>
    <xf borderId="3" fillId="0" fontId="2" numFmtId="0" xfId="0" applyAlignment="1" applyBorder="1" applyFont="1">
      <alignment readingOrder="0" vertical="center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8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readingOrder="0" shrinkToFit="0" vertical="center" wrapText="1"/>
    </xf>
    <xf borderId="8" fillId="0" fontId="9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horizontal="left" readingOrder="0" shrinkToFit="0" vertical="center" wrapText="1"/>
    </xf>
    <xf borderId="8" fillId="0" fontId="1" numFmtId="0" xfId="0" applyAlignment="1" applyBorder="1" applyFont="1">
      <alignment vertical="center"/>
    </xf>
    <xf borderId="8" fillId="4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1" numFmtId="0" xfId="0" applyFont="1"/>
    <xf borderId="0" fillId="0" fontId="11" numFmtId="0" xfId="0" applyFont="1"/>
    <xf borderId="0" fillId="0" fontId="12" numFmtId="0" xfId="0" applyAlignment="1" applyFont="1">
      <alignment horizontal="left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</cellXfs>
  <cellStyles count="1">
    <cellStyle xfId="0" name="Normal" builtinId="0"/>
  </cellStyles>
  <dxfs count="2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nt-it.ru/clients" TargetMode="External"/><Relationship Id="rId42" Type="http://schemas.openxmlformats.org/officeDocument/2006/relationships/hyperlink" Target="https://dent-it.ru/clients" TargetMode="External"/><Relationship Id="rId41" Type="http://schemas.openxmlformats.org/officeDocument/2006/relationships/hyperlink" Target="https://dent-it.ru/clients" TargetMode="External"/><Relationship Id="rId44" Type="http://schemas.openxmlformats.org/officeDocument/2006/relationships/hyperlink" Target="https://dent-it.ru/clients" TargetMode="External"/><Relationship Id="rId43" Type="http://schemas.openxmlformats.org/officeDocument/2006/relationships/hyperlink" Target="https://dent-it.ru/clients" TargetMode="External"/><Relationship Id="rId46" Type="http://schemas.openxmlformats.org/officeDocument/2006/relationships/hyperlink" Target="https://dent-it.ru/clients" TargetMode="External"/><Relationship Id="rId45" Type="http://schemas.openxmlformats.org/officeDocument/2006/relationships/hyperlink" Target="https://dent-it.ru/clients" TargetMode="External"/><Relationship Id="rId107" Type="http://schemas.openxmlformats.org/officeDocument/2006/relationships/hyperlink" Target="https://dent-it.ru/clients" TargetMode="External"/><Relationship Id="rId106" Type="http://schemas.openxmlformats.org/officeDocument/2006/relationships/hyperlink" Target="https://dent-it.ru/clients" TargetMode="External"/><Relationship Id="rId105" Type="http://schemas.openxmlformats.org/officeDocument/2006/relationships/hyperlink" Target="https://dent-it.ru/clients" TargetMode="External"/><Relationship Id="rId104" Type="http://schemas.openxmlformats.org/officeDocument/2006/relationships/hyperlink" Target="https://dent-it.ru/clients" TargetMode="External"/><Relationship Id="rId109" Type="http://schemas.openxmlformats.org/officeDocument/2006/relationships/hyperlink" Target="https://dent-it.ru/clients" TargetMode="External"/><Relationship Id="rId108" Type="http://schemas.openxmlformats.org/officeDocument/2006/relationships/hyperlink" Target="https://dent-it.ru/clients" TargetMode="External"/><Relationship Id="rId48" Type="http://schemas.openxmlformats.org/officeDocument/2006/relationships/hyperlink" Target="https://dent-it.ru/clients" TargetMode="External"/><Relationship Id="rId47" Type="http://schemas.openxmlformats.org/officeDocument/2006/relationships/hyperlink" Target="https://dent-it.ru/clients" TargetMode="External"/><Relationship Id="rId49" Type="http://schemas.openxmlformats.org/officeDocument/2006/relationships/hyperlink" Target="https://dent-it.ru/clients" TargetMode="External"/><Relationship Id="rId103" Type="http://schemas.openxmlformats.org/officeDocument/2006/relationships/hyperlink" Target="https://dent-it.ru/clients" TargetMode="External"/><Relationship Id="rId102" Type="http://schemas.openxmlformats.org/officeDocument/2006/relationships/hyperlink" Target="https://dent-it.ru/clients" TargetMode="External"/><Relationship Id="rId101" Type="http://schemas.openxmlformats.org/officeDocument/2006/relationships/hyperlink" Target="https://dent-it.ru/clients" TargetMode="External"/><Relationship Id="rId100" Type="http://schemas.openxmlformats.org/officeDocument/2006/relationships/hyperlink" Target="https://dent-it.ru/clients" TargetMode="External"/><Relationship Id="rId31" Type="http://schemas.openxmlformats.org/officeDocument/2006/relationships/hyperlink" Target="https://dent-it.ru/clients" TargetMode="External"/><Relationship Id="rId30" Type="http://schemas.openxmlformats.org/officeDocument/2006/relationships/hyperlink" Target="https://dent-it.ru/clients" TargetMode="External"/><Relationship Id="rId33" Type="http://schemas.openxmlformats.org/officeDocument/2006/relationships/hyperlink" Target="https://dent-it.ru/clients" TargetMode="External"/><Relationship Id="rId32" Type="http://schemas.openxmlformats.org/officeDocument/2006/relationships/hyperlink" Target="https://dent-it.ru/clients" TargetMode="External"/><Relationship Id="rId35" Type="http://schemas.openxmlformats.org/officeDocument/2006/relationships/hyperlink" Target="https://dent-it.ru/clients" TargetMode="External"/><Relationship Id="rId34" Type="http://schemas.openxmlformats.org/officeDocument/2006/relationships/hyperlink" Target="https://dent-it.ru/clients" TargetMode="External"/><Relationship Id="rId37" Type="http://schemas.openxmlformats.org/officeDocument/2006/relationships/hyperlink" Target="https://dent-it.ru/clients" TargetMode="External"/><Relationship Id="rId36" Type="http://schemas.openxmlformats.org/officeDocument/2006/relationships/hyperlink" Target="https://dent-it.ru/clients" TargetMode="External"/><Relationship Id="rId39" Type="http://schemas.openxmlformats.org/officeDocument/2006/relationships/hyperlink" Target="https://dent-it.ru/clients" TargetMode="External"/><Relationship Id="rId38" Type="http://schemas.openxmlformats.org/officeDocument/2006/relationships/hyperlink" Target="https://dent-it.ru/clients" TargetMode="External"/><Relationship Id="rId20" Type="http://schemas.openxmlformats.org/officeDocument/2006/relationships/hyperlink" Target="https://dent-it.ru/clients" TargetMode="External"/><Relationship Id="rId22" Type="http://schemas.openxmlformats.org/officeDocument/2006/relationships/hyperlink" Target="https://dent-it.ru/clients" TargetMode="External"/><Relationship Id="rId21" Type="http://schemas.openxmlformats.org/officeDocument/2006/relationships/hyperlink" Target="https://dent-it.ru/clients" TargetMode="External"/><Relationship Id="rId24" Type="http://schemas.openxmlformats.org/officeDocument/2006/relationships/hyperlink" Target="https://dent-it.ru/clients" TargetMode="External"/><Relationship Id="rId23" Type="http://schemas.openxmlformats.org/officeDocument/2006/relationships/hyperlink" Target="https://dent-it.ru/clients" TargetMode="External"/><Relationship Id="rId129" Type="http://schemas.openxmlformats.org/officeDocument/2006/relationships/hyperlink" Target="https://dent-it.ru/clients" TargetMode="External"/><Relationship Id="rId128" Type="http://schemas.openxmlformats.org/officeDocument/2006/relationships/hyperlink" Target="https://dent-it.ru/clients" TargetMode="External"/><Relationship Id="rId127" Type="http://schemas.openxmlformats.org/officeDocument/2006/relationships/hyperlink" Target="https://dent-it.ru/clients" TargetMode="External"/><Relationship Id="rId126" Type="http://schemas.openxmlformats.org/officeDocument/2006/relationships/hyperlink" Target="https://dent-it.ru/clients" TargetMode="External"/><Relationship Id="rId26" Type="http://schemas.openxmlformats.org/officeDocument/2006/relationships/hyperlink" Target="https://dent-it.ru/clients" TargetMode="External"/><Relationship Id="rId121" Type="http://schemas.openxmlformats.org/officeDocument/2006/relationships/hyperlink" Target="https://dent-it.ru/clients" TargetMode="External"/><Relationship Id="rId25" Type="http://schemas.openxmlformats.org/officeDocument/2006/relationships/hyperlink" Target="https://dent-it.ru/clients" TargetMode="External"/><Relationship Id="rId120" Type="http://schemas.openxmlformats.org/officeDocument/2006/relationships/hyperlink" Target="https://dent-it.ru/clients" TargetMode="External"/><Relationship Id="rId28" Type="http://schemas.openxmlformats.org/officeDocument/2006/relationships/hyperlink" Target="https://dent-it.ru/clients" TargetMode="External"/><Relationship Id="rId27" Type="http://schemas.openxmlformats.org/officeDocument/2006/relationships/hyperlink" Target="https://dent-it.ru/clients" TargetMode="External"/><Relationship Id="rId125" Type="http://schemas.openxmlformats.org/officeDocument/2006/relationships/hyperlink" Target="https://dent-it.ru/clients" TargetMode="External"/><Relationship Id="rId29" Type="http://schemas.openxmlformats.org/officeDocument/2006/relationships/hyperlink" Target="https://dent-it.ru/clients" TargetMode="External"/><Relationship Id="rId124" Type="http://schemas.openxmlformats.org/officeDocument/2006/relationships/hyperlink" Target="https://dent-it.ru/clients" TargetMode="External"/><Relationship Id="rId123" Type="http://schemas.openxmlformats.org/officeDocument/2006/relationships/hyperlink" Target="https://dent-it.ru/clients" TargetMode="External"/><Relationship Id="rId122" Type="http://schemas.openxmlformats.org/officeDocument/2006/relationships/hyperlink" Target="https://dent-it.ru/clients" TargetMode="External"/><Relationship Id="rId95" Type="http://schemas.openxmlformats.org/officeDocument/2006/relationships/hyperlink" Target="https://dent-it.ru/clients" TargetMode="External"/><Relationship Id="rId94" Type="http://schemas.openxmlformats.org/officeDocument/2006/relationships/hyperlink" Target="https://dent-it.ru/clients" TargetMode="External"/><Relationship Id="rId97" Type="http://schemas.openxmlformats.org/officeDocument/2006/relationships/hyperlink" Target="https://dent-it.ru/clients" TargetMode="External"/><Relationship Id="rId96" Type="http://schemas.openxmlformats.org/officeDocument/2006/relationships/hyperlink" Target="https://dent-it.ru/clients" TargetMode="External"/><Relationship Id="rId11" Type="http://schemas.openxmlformats.org/officeDocument/2006/relationships/hyperlink" Target="https://dent-it.ru/clients" TargetMode="External"/><Relationship Id="rId99" Type="http://schemas.openxmlformats.org/officeDocument/2006/relationships/hyperlink" Target="https://dent-it.ru/clients" TargetMode="External"/><Relationship Id="rId10" Type="http://schemas.openxmlformats.org/officeDocument/2006/relationships/hyperlink" Target="https://dent-it.ru/clients" TargetMode="External"/><Relationship Id="rId98" Type="http://schemas.openxmlformats.org/officeDocument/2006/relationships/hyperlink" Target="https://dent-it.ru/clients" TargetMode="External"/><Relationship Id="rId13" Type="http://schemas.openxmlformats.org/officeDocument/2006/relationships/hyperlink" Target="https://dent-it.ru/clients" TargetMode="External"/><Relationship Id="rId12" Type="http://schemas.openxmlformats.org/officeDocument/2006/relationships/hyperlink" Target="https://dent-it.ru/clients" TargetMode="External"/><Relationship Id="rId91" Type="http://schemas.openxmlformats.org/officeDocument/2006/relationships/hyperlink" Target="https://dent-it.ru/clients" TargetMode="External"/><Relationship Id="rId90" Type="http://schemas.openxmlformats.org/officeDocument/2006/relationships/hyperlink" Target="https://dent-it.ru/clients" TargetMode="External"/><Relationship Id="rId93" Type="http://schemas.openxmlformats.org/officeDocument/2006/relationships/hyperlink" Target="https://dent-it.ru/clients" TargetMode="External"/><Relationship Id="rId92" Type="http://schemas.openxmlformats.org/officeDocument/2006/relationships/hyperlink" Target="https://dent-it.ru/clients" TargetMode="External"/><Relationship Id="rId118" Type="http://schemas.openxmlformats.org/officeDocument/2006/relationships/hyperlink" Target="https://dent-it.ru/clients" TargetMode="External"/><Relationship Id="rId117" Type="http://schemas.openxmlformats.org/officeDocument/2006/relationships/hyperlink" Target="https://dent-it.ru/clients" TargetMode="External"/><Relationship Id="rId116" Type="http://schemas.openxmlformats.org/officeDocument/2006/relationships/hyperlink" Target="https://dent-it.ru/clients" TargetMode="External"/><Relationship Id="rId115" Type="http://schemas.openxmlformats.org/officeDocument/2006/relationships/hyperlink" Target="https://dent-it.ru/clients" TargetMode="External"/><Relationship Id="rId119" Type="http://schemas.openxmlformats.org/officeDocument/2006/relationships/hyperlink" Target="https://dent-it.ru/clients" TargetMode="External"/><Relationship Id="rId15" Type="http://schemas.openxmlformats.org/officeDocument/2006/relationships/hyperlink" Target="https://dent-it.ru/clients" TargetMode="External"/><Relationship Id="rId110" Type="http://schemas.openxmlformats.org/officeDocument/2006/relationships/hyperlink" Target="https://dent-it.ru/clients" TargetMode="External"/><Relationship Id="rId14" Type="http://schemas.openxmlformats.org/officeDocument/2006/relationships/hyperlink" Target="https://dent-it.ru/clients" TargetMode="External"/><Relationship Id="rId17" Type="http://schemas.openxmlformats.org/officeDocument/2006/relationships/hyperlink" Target="https://dent-it.ru/clients" TargetMode="External"/><Relationship Id="rId16" Type="http://schemas.openxmlformats.org/officeDocument/2006/relationships/hyperlink" Target="https://dent-it.ru/clients" TargetMode="External"/><Relationship Id="rId19" Type="http://schemas.openxmlformats.org/officeDocument/2006/relationships/hyperlink" Target="https://dent-it.ru/clients" TargetMode="External"/><Relationship Id="rId114" Type="http://schemas.openxmlformats.org/officeDocument/2006/relationships/hyperlink" Target="https://dent-it.ru/clients" TargetMode="External"/><Relationship Id="rId18" Type="http://schemas.openxmlformats.org/officeDocument/2006/relationships/hyperlink" Target="https://dent-it.ru/clients" TargetMode="External"/><Relationship Id="rId113" Type="http://schemas.openxmlformats.org/officeDocument/2006/relationships/hyperlink" Target="https://dent-it.ru/clients" TargetMode="External"/><Relationship Id="rId112" Type="http://schemas.openxmlformats.org/officeDocument/2006/relationships/hyperlink" Target="https://dent-it.ru/clients" TargetMode="External"/><Relationship Id="rId111" Type="http://schemas.openxmlformats.org/officeDocument/2006/relationships/hyperlink" Target="https://dent-it.ru/clients" TargetMode="External"/><Relationship Id="rId84" Type="http://schemas.openxmlformats.org/officeDocument/2006/relationships/hyperlink" Target="https://dent-it.ru/clients" TargetMode="External"/><Relationship Id="rId83" Type="http://schemas.openxmlformats.org/officeDocument/2006/relationships/hyperlink" Target="https://dent-it.ru/clients" TargetMode="External"/><Relationship Id="rId86" Type="http://schemas.openxmlformats.org/officeDocument/2006/relationships/hyperlink" Target="https://dent-it.ru/clients" TargetMode="External"/><Relationship Id="rId85" Type="http://schemas.openxmlformats.org/officeDocument/2006/relationships/hyperlink" Target="https://dent-it.ru/clients" TargetMode="External"/><Relationship Id="rId88" Type="http://schemas.openxmlformats.org/officeDocument/2006/relationships/hyperlink" Target="https://dent-it.ru/clients" TargetMode="External"/><Relationship Id="rId150" Type="http://schemas.openxmlformats.org/officeDocument/2006/relationships/hyperlink" Target="https://dent-it.ru/clients" TargetMode="External"/><Relationship Id="rId87" Type="http://schemas.openxmlformats.org/officeDocument/2006/relationships/hyperlink" Target="https://dent-it.ru/clients" TargetMode="External"/><Relationship Id="rId89" Type="http://schemas.openxmlformats.org/officeDocument/2006/relationships/hyperlink" Target="https://dent-it.ru/clients" TargetMode="External"/><Relationship Id="rId80" Type="http://schemas.openxmlformats.org/officeDocument/2006/relationships/hyperlink" Target="https://dent-it.ru/clients" TargetMode="External"/><Relationship Id="rId82" Type="http://schemas.openxmlformats.org/officeDocument/2006/relationships/hyperlink" Target="https://dent-it.ru/clients" TargetMode="External"/><Relationship Id="rId81" Type="http://schemas.openxmlformats.org/officeDocument/2006/relationships/hyperlink" Target="https://dent-it.ru/clients" TargetMode="External"/><Relationship Id="rId1" Type="http://schemas.openxmlformats.org/officeDocument/2006/relationships/hyperlink" Target="https://dent-it.ru/clients" TargetMode="External"/><Relationship Id="rId2" Type="http://schemas.openxmlformats.org/officeDocument/2006/relationships/hyperlink" Target="https://dent-it.ru/clients" TargetMode="External"/><Relationship Id="rId3" Type="http://schemas.openxmlformats.org/officeDocument/2006/relationships/hyperlink" Target="https://dent-it.ru/clients" TargetMode="External"/><Relationship Id="rId149" Type="http://schemas.openxmlformats.org/officeDocument/2006/relationships/hyperlink" Target="https://dent-it.ru/clients" TargetMode="External"/><Relationship Id="rId4" Type="http://schemas.openxmlformats.org/officeDocument/2006/relationships/hyperlink" Target="https://dent-it.ru/clients" TargetMode="External"/><Relationship Id="rId148" Type="http://schemas.openxmlformats.org/officeDocument/2006/relationships/hyperlink" Target="https://dent-it.ru/clients" TargetMode="External"/><Relationship Id="rId9" Type="http://schemas.openxmlformats.org/officeDocument/2006/relationships/hyperlink" Target="https://dent-it.ru/clients" TargetMode="External"/><Relationship Id="rId143" Type="http://schemas.openxmlformats.org/officeDocument/2006/relationships/hyperlink" Target="https://dent-it.ru/clients" TargetMode="External"/><Relationship Id="rId142" Type="http://schemas.openxmlformats.org/officeDocument/2006/relationships/hyperlink" Target="https://dent-it.ru/clients" TargetMode="External"/><Relationship Id="rId141" Type="http://schemas.openxmlformats.org/officeDocument/2006/relationships/hyperlink" Target="https://dent-it.ru/clients" TargetMode="External"/><Relationship Id="rId140" Type="http://schemas.openxmlformats.org/officeDocument/2006/relationships/hyperlink" Target="https://dent-it.ru/clients" TargetMode="External"/><Relationship Id="rId5" Type="http://schemas.openxmlformats.org/officeDocument/2006/relationships/hyperlink" Target="https://dent-it.ru/clients" TargetMode="External"/><Relationship Id="rId147" Type="http://schemas.openxmlformats.org/officeDocument/2006/relationships/hyperlink" Target="https://dent-it.ru/clients" TargetMode="External"/><Relationship Id="rId6" Type="http://schemas.openxmlformats.org/officeDocument/2006/relationships/hyperlink" Target="https://dent-it.ru/clients" TargetMode="External"/><Relationship Id="rId146" Type="http://schemas.openxmlformats.org/officeDocument/2006/relationships/hyperlink" Target="https://dent-it.ru/clients" TargetMode="External"/><Relationship Id="rId7" Type="http://schemas.openxmlformats.org/officeDocument/2006/relationships/hyperlink" Target="https://dent-it.ru/clients" TargetMode="External"/><Relationship Id="rId145" Type="http://schemas.openxmlformats.org/officeDocument/2006/relationships/hyperlink" Target="https://dent-it.ru/clients" TargetMode="External"/><Relationship Id="rId8" Type="http://schemas.openxmlformats.org/officeDocument/2006/relationships/hyperlink" Target="https://dent-it.ru/clients" TargetMode="External"/><Relationship Id="rId144" Type="http://schemas.openxmlformats.org/officeDocument/2006/relationships/hyperlink" Target="https://dent-it.ru/clients" TargetMode="External"/><Relationship Id="rId73" Type="http://schemas.openxmlformats.org/officeDocument/2006/relationships/hyperlink" Target="https://dent-it.ru/clients" TargetMode="External"/><Relationship Id="rId72" Type="http://schemas.openxmlformats.org/officeDocument/2006/relationships/hyperlink" Target="https://dent-it.ru/clients" TargetMode="External"/><Relationship Id="rId75" Type="http://schemas.openxmlformats.org/officeDocument/2006/relationships/hyperlink" Target="https://dent-it.ru/clients" TargetMode="External"/><Relationship Id="rId74" Type="http://schemas.openxmlformats.org/officeDocument/2006/relationships/hyperlink" Target="https://dent-it.ru/clients" TargetMode="External"/><Relationship Id="rId77" Type="http://schemas.openxmlformats.org/officeDocument/2006/relationships/hyperlink" Target="https://dent-it.ru/clients" TargetMode="External"/><Relationship Id="rId76" Type="http://schemas.openxmlformats.org/officeDocument/2006/relationships/hyperlink" Target="https://dent-it.ru/clients" TargetMode="External"/><Relationship Id="rId79" Type="http://schemas.openxmlformats.org/officeDocument/2006/relationships/hyperlink" Target="https://dent-it.ru/clients" TargetMode="External"/><Relationship Id="rId78" Type="http://schemas.openxmlformats.org/officeDocument/2006/relationships/hyperlink" Target="https://dent-it.ru/clients" TargetMode="External"/><Relationship Id="rId71" Type="http://schemas.openxmlformats.org/officeDocument/2006/relationships/hyperlink" Target="https://dent-it.ru/clients" TargetMode="External"/><Relationship Id="rId70" Type="http://schemas.openxmlformats.org/officeDocument/2006/relationships/hyperlink" Target="https://dent-it.ru/clients" TargetMode="External"/><Relationship Id="rId139" Type="http://schemas.openxmlformats.org/officeDocument/2006/relationships/hyperlink" Target="https://dent-it.ru/clients" TargetMode="External"/><Relationship Id="rId138" Type="http://schemas.openxmlformats.org/officeDocument/2006/relationships/hyperlink" Target="https://dent-it.ru/clients" TargetMode="External"/><Relationship Id="rId137" Type="http://schemas.openxmlformats.org/officeDocument/2006/relationships/hyperlink" Target="https://dent-it.ru/clients" TargetMode="External"/><Relationship Id="rId132" Type="http://schemas.openxmlformats.org/officeDocument/2006/relationships/hyperlink" Target="https://dent-it.ru/clients" TargetMode="External"/><Relationship Id="rId131" Type="http://schemas.openxmlformats.org/officeDocument/2006/relationships/hyperlink" Target="https://dent-it.ru/clients" TargetMode="External"/><Relationship Id="rId130" Type="http://schemas.openxmlformats.org/officeDocument/2006/relationships/hyperlink" Target="https://dent-it.ru/clients" TargetMode="External"/><Relationship Id="rId136" Type="http://schemas.openxmlformats.org/officeDocument/2006/relationships/hyperlink" Target="https://dent-it.ru/clients" TargetMode="External"/><Relationship Id="rId135" Type="http://schemas.openxmlformats.org/officeDocument/2006/relationships/hyperlink" Target="https://dent-it.ru/clients" TargetMode="External"/><Relationship Id="rId134" Type="http://schemas.openxmlformats.org/officeDocument/2006/relationships/hyperlink" Target="https://dent-it.ru/clients" TargetMode="External"/><Relationship Id="rId133" Type="http://schemas.openxmlformats.org/officeDocument/2006/relationships/hyperlink" Target="https://dent-it.ru/clients" TargetMode="External"/><Relationship Id="rId62" Type="http://schemas.openxmlformats.org/officeDocument/2006/relationships/hyperlink" Target="https://dent-it.ru/clients" TargetMode="External"/><Relationship Id="rId61" Type="http://schemas.openxmlformats.org/officeDocument/2006/relationships/hyperlink" Target="https://dent-it.ru/clients" TargetMode="External"/><Relationship Id="rId64" Type="http://schemas.openxmlformats.org/officeDocument/2006/relationships/hyperlink" Target="https://dent-it.ru/clients" TargetMode="External"/><Relationship Id="rId63" Type="http://schemas.openxmlformats.org/officeDocument/2006/relationships/hyperlink" Target="https://dent-it.ru/clients" TargetMode="External"/><Relationship Id="rId66" Type="http://schemas.openxmlformats.org/officeDocument/2006/relationships/hyperlink" Target="https://dent-it.ru/clients" TargetMode="External"/><Relationship Id="rId65" Type="http://schemas.openxmlformats.org/officeDocument/2006/relationships/hyperlink" Target="https://dent-it.ru/clients" TargetMode="External"/><Relationship Id="rId68" Type="http://schemas.openxmlformats.org/officeDocument/2006/relationships/hyperlink" Target="https://dent-it.ru/clients" TargetMode="External"/><Relationship Id="rId67" Type="http://schemas.openxmlformats.org/officeDocument/2006/relationships/hyperlink" Target="https://dent-it.ru/clients" TargetMode="External"/><Relationship Id="rId60" Type="http://schemas.openxmlformats.org/officeDocument/2006/relationships/hyperlink" Target="https://dent-it.ru/clients" TargetMode="External"/><Relationship Id="rId69" Type="http://schemas.openxmlformats.org/officeDocument/2006/relationships/hyperlink" Target="https://dent-it.ru/clients" TargetMode="External"/><Relationship Id="rId51" Type="http://schemas.openxmlformats.org/officeDocument/2006/relationships/hyperlink" Target="https://dent-it.ru/clients" TargetMode="External"/><Relationship Id="rId50" Type="http://schemas.openxmlformats.org/officeDocument/2006/relationships/hyperlink" Target="https://dent-it.ru/clients" TargetMode="External"/><Relationship Id="rId53" Type="http://schemas.openxmlformats.org/officeDocument/2006/relationships/hyperlink" Target="https://dent-it.ru/clients" TargetMode="External"/><Relationship Id="rId52" Type="http://schemas.openxmlformats.org/officeDocument/2006/relationships/hyperlink" Target="https://dent-it.ru/clients" TargetMode="External"/><Relationship Id="rId55" Type="http://schemas.openxmlformats.org/officeDocument/2006/relationships/hyperlink" Target="https://dent-it.ru/clients" TargetMode="External"/><Relationship Id="rId54" Type="http://schemas.openxmlformats.org/officeDocument/2006/relationships/hyperlink" Target="https://dent-it.ru/clients" TargetMode="External"/><Relationship Id="rId57" Type="http://schemas.openxmlformats.org/officeDocument/2006/relationships/hyperlink" Target="https://dent-it.ru/clients" TargetMode="External"/><Relationship Id="rId56" Type="http://schemas.openxmlformats.org/officeDocument/2006/relationships/hyperlink" Target="https://dent-it.ru/clients" TargetMode="External"/><Relationship Id="rId59" Type="http://schemas.openxmlformats.org/officeDocument/2006/relationships/hyperlink" Target="https://dent-it.ru/clients" TargetMode="External"/><Relationship Id="rId154" Type="http://schemas.openxmlformats.org/officeDocument/2006/relationships/hyperlink" Target="https://dent-it.ru/clients" TargetMode="External"/><Relationship Id="rId58" Type="http://schemas.openxmlformats.org/officeDocument/2006/relationships/hyperlink" Target="https://dent-it.ru/clients" TargetMode="External"/><Relationship Id="rId153" Type="http://schemas.openxmlformats.org/officeDocument/2006/relationships/hyperlink" Target="https://dent-it.ru/clients" TargetMode="External"/><Relationship Id="rId152" Type="http://schemas.openxmlformats.org/officeDocument/2006/relationships/hyperlink" Target="https://dent-it.ru/clients" TargetMode="External"/><Relationship Id="rId151" Type="http://schemas.openxmlformats.org/officeDocument/2006/relationships/hyperlink" Target="https://dent-it.ru/clients" TargetMode="External"/><Relationship Id="rId158" Type="http://schemas.openxmlformats.org/officeDocument/2006/relationships/drawing" Target="../drawings/drawing1.xml"/><Relationship Id="rId157" Type="http://schemas.openxmlformats.org/officeDocument/2006/relationships/hyperlink" Target="https://dent-it.ru/clients" TargetMode="External"/><Relationship Id="rId156" Type="http://schemas.openxmlformats.org/officeDocument/2006/relationships/hyperlink" Target="https://dent-it.ru/clients" TargetMode="External"/><Relationship Id="rId155" Type="http://schemas.openxmlformats.org/officeDocument/2006/relationships/hyperlink" Target="https://dent-it.ru/cli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4.0"/>
    <col customWidth="1" min="2" max="2" width="28.75"/>
    <col customWidth="1" min="3" max="3" width="44.88"/>
    <col customWidth="1" min="4" max="4" width="51.0"/>
    <col customWidth="1" min="5" max="5" width="39.25"/>
    <col customWidth="1" min="6" max="6" width="10.0"/>
    <col customWidth="1" min="7" max="7" width="6.88"/>
    <col customWidth="1" min="8" max="8" width="2.63"/>
    <col customWidth="1" min="9" max="9" width="14.5"/>
  </cols>
  <sheetData>
    <row r="1" ht="15.75" customHeight="1">
      <c r="A1" s="1"/>
      <c r="B1" s="2"/>
      <c r="C1" s="2"/>
      <c r="D1" s="2"/>
      <c r="E1" s="2"/>
      <c r="F1" s="3"/>
      <c r="G1" s="4" t="s">
        <v>0</v>
      </c>
      <c r="H1" s="5"/>
      <c r="I1" s="6">
        <v>16.0</v>
      </c>
    </row>
    <row r="2" ht="15.75" customHeight="1">
      <c r="A2" s="7"/>
      <c r="B2" s="8"/>
      <c r="C2" s="8"/>
      <c r="D2" s="8"/>
      <c r="E2" s="8"/>
      <c r="F2" s="9"/>
      <c r="G2" s="10" t="s">
        <v>1</v>
      </c>
      <c r="H2" s="11"/>
      <c r="I2" s="12">
        <v>141.0</v>
      </c>
    </row>
    <row r="3" ht="15.75" customHeight="1">
      <c r="A3" s="7"/>
      <c r="B3" s="8"/>
      <c r="C3" s="8"/>
      <c r="D3" s="8"/>
      <c r="E3" s="8"/>
      <c r="F3" s="9"/>
      <c r="G3" s="10" t="s">
        <v>2</v>
      </c>
      <c r="H3" s="11"/>
      <c r="I3" s="13">
        <v>44942.0</v>
      </c>
    </row>
    <row r="4" ht="15.75" customHeight="1">
      <c r="A4" s="7"/>
      <c r="B4" s="8"/>
      <c r="C4" s="8"/>
      <c r="D4" s="8"/>
      <c r="E4" s="8"/>
      <c r="F4" s="9"/>
      <c r="G4" s="10" t="s">
        <v>3</v>
      </c>
      <c r="H4" s="11"/>
      <c r="I4" s="14"/>
    </row>
    <row r="5" ht="15.75" customHeight="1">
      <c r="A5" s="15"/>
      <c r="B5" s="16"/>
      <c r="C5" s="16"/>
      <c r="D5" s="16"/>
      <c r="E5" s="16"/>
      <c r="F5" s="17"/>
      <c r="G5" s="18"/>
      <c r="H5" s="11"/>
      <c r="I5" s="14"/>
    </row>
    <row r="6" ht="15.75" customHeight="1">
      <c r="A6" s="19" t="s">
        <v>4</v>
      </c>
      <c r="B6" s="20" t="s">
        <v>5</v>
      </c>
      <c r="C6" s="21" t="s">
        <v>6</v>
      </c>
      <c r="D6" s="22"/>
      <c r="E6" s="23"/>
      <c r="F6" s="19" t="s">
        <v>7</v>
      </c>
      <c r="G6" s="24" t="s">
        <v>8</v>
      </c>
      <c r="H6" s="25"/>
      <c r="I6" s="26" t="s">
        <v>9</v>
      </c>
    </row>
    <row r="7" ht="15.75" customHeight="1">
      <c r="A7" s="27"/>
      <c r="B7" s="27"/>
      <c r="C7" s="20" t="s">
        <v>10</v>
      </c>
      <c r="D7" s="20" t="s">
        <v>11</v>
      </c>
      <c r="E7" s="20" t="s">
        <v>12</v>
      </c>
      <c r="F7" s="27"/>
      <c r="G7" s="27"/>
      <c r="H7" s="27"/>
    </row>
    <row r="8" ht="68.25" customHeight="1">
      <c r="A8" s="28"/>
      <c r="B8" s="28"/>
      <c r="C8" s="28"/>
      <c r="D8" s="28"/>
      <c r="E8" s="28"/>
      <c r="F8" s="28"/>
      <c r="G8" s="28"/>
      <c r="H8" s="28"/>
    </row>
    <row r="9" ht="15.75" customHeight="1">
      <c r="A9" s="29" t="s">
        <v>13</v>
      </c>
      <c r="B9" s="22"/>
      <c r="C9" s="22"/>
      <c r="D9" s="22"/>
      <c r="E9" s="22"/>
      <c r="F9" s="22"/>
      <c r="G9" s="22"/>
      <c r="H9" s="22"/>
      <c r="I9" s="23"/>
    </row>
    <row r="10" ht="15.75" customHeight="1">
      <c r="A10" s="29" t="s">
        <v>14</v>
      </c>
      <c r="B10" s="22"/>
      <c r="C10" s="22"/>
      <c r="D10" s="22"/>
      <c r="E10" s="22"/>
      <c r="F10" s="22"/>
      <c r="G10" s="22"/>
      <c r="H10" s="22"/>
      <c r="I10" s="23"/>
    </row>
    <row r="11">
      <c r="A11" s="30">
        <v>1.0</v>
      </c>
      <c r="B11" s="31" t="s">
        <v>15</v>
      </c>
      <c r="C11" s="32" t="s">
        <v>16</v>
      </c>
      <c r="D11" s="31"/>
      <c r="E11" s="31" t="s">
        <v>17</v>
      </c>
      <c r="F11" s="33"/>
      <c r="G11" s="30">
        <v>2.0</v>
      </c>
      <c r="H11" s="11"/>
      <c r="I11" s="34" t="s">
        <v>18</v>
      </c>
    </row>
    <row r="12">
      <c r="A12" s="30">
        <v>2.0</v>
      </c>
      <c r="B12" s="31" t="s">
        <v>19</v>
      </c>
      <c r="C12" s="32" t="s">
        <v>20</v>
      </c>
      <c r="D12" s="31" t="s">
        <v>21</v>
      </c>
      <c r="E12" s="31" t="s">
        <v>22</v>
      </c>
      <c r="F12" s="35" t="str">
        <f>HYPERLINK("https://firsakovae.youtrack.cloud/issue/TP-1", "BUG-1")
</f>
        <v>BUG-1</v>
      </c>
      <c r="G12" s="30">
        <v>3.0</v>
      </c>
      <c r="H12" s="11"/>
      <c r="I12" s="34" t="s">
        <v>23</v>
      </c>
    </row>
    <row r="13">
      <c r="A13" s="30">
        <v>3.0</v>
      </c>
      <c r="B13" s="31" t="s">
        <v>24</v>
      </c>
      <c r="C13" s="32" t="s">
        <v>25</v>
      </c>
      <c r="D13" s="31" t="s">
        <v>26</v>
      </c>
      <c r="E13" s="31" t="s">
        <v>27</v>
      </c>
      <c r="F13" s="36"/>
      <c r="G13" s="30">
        <v>3.0</v>
      </c>
      <c r="H13" s="11"/>
      <c r="I13" s="34" t="s">
        <v>18</v>
      </c>
    </row>
    <row r="14">
      <c r="A14" s="30">
        <v>4.0</v>
      </c>
      <c r="B14" s="31" t="s">
        <v>28</v>
      </c>
      <c r="C14" s="32" t="s">
        <v>29</v>
      </c>
      <c r="D14" s="31" t="s">
        <v>30</v>
      </c>
      <c r="E14" s="33" t="s">
        <v>31</v>
      </c>
      <c r="F14" s="30"/>
      <c r="G14" s="30">
        <v>3.0</v>
      </c>
      <c r="H14" s="30"/>
      <c r="I14" s="34" t="s">
        <v>18</v>
      </c>
    </row>
    <row r="15">
      <c r="A15" s="29" t="s">
        <v>32</v>
      </c>
      <c r="B15" s="22"/>
      <c r="C15" s="22"/>
      <c r="D15" s="22"/>
      <c r="E15" s="22"/>
      <c r="F15" s="22"/>
      <c r="G15" s="22"/>
      <c r="H15" s="22"/>
      <c r="I15" s="23"/>
    </row>
    <row r="16">
      <c r="A16" s="30">
        <v>5.0</v>
      </c>
      <c r="B16" s="12" t="s">
        <v>33</v>
      </c>
      <c r="C16" s="32" t="s">
        <v>34</v>
      </c>
      <c r="D16" s="14"/>
      <c r="E16" s="31" t="s">
        <v>35</v>
      </c>
      <c r="F16" s="11"/>
      <c r="G16" s="30">
        <v>3.0</v>
      </c>
      <c r="H16" s="11"/>
      <c r="I16" s="34" t="s">
        <v>18</v>
      </c>
    </row>
    <row r="17">
      <c r="A17" s="29" t="s">
        <v>36</v>
      </c>
      <c r="B17" s="22"/>
      <c r="C17" s="22"/>
      <c r="D17" s="22"/>
      <c r="E17" s="22"/>
      <c r="F17" s="22"/>
      <c r="G17" s="22"/>
      <c r="H17" s="22"/>
      <c r="I17" s="23"/>
    </row>
    <row r="18">
      <c r="A18" s="30">
        <v>6.0</v>
      </c>
      <c r="B18" s="12" t="s">
        <v>37</v>
      </c>
      <c r="C18" s="32" t="s">
        <v>38</v>
      </c>
      <c r="D18" s="14"/>
      <c r="E18" s="31" t="s">
        <v>39</v>
      </c>
      <c r="F18" s="11"/>
      <c r="G18" s="30">
        <v>3.0</v>
      </c>
      <c r="H18" s="11"/>
      <c r="I18" s="34" t="s">
        <v>18</v>
      </c>
    </row>
    <row r="19">
      <c r="A19" s="30">
        <v>7.0</v>
      </c>
      <c r="B19" s="12" t="s">
        <v>40</v>
      </c>
      <c r="C19" s="32" t="s">
        <v>41</v>
      </c>
      <c r="D19" s="31" t="s">
        <v>42</v>
      </c>
      <c r="E19" s="31" t="s">
        <v>43</v>
      </c>
      <c r="F19" s="11"/>
      <c r="G19" s="30">
        <v>3.0</v>
      </c>
      <c r="H19" s="11"/>
      <c r="I19" s="34" t="s">
        <v>18</v>
      </c>
    </row>
    <row r="20">
      <c r="A20" s="30">
        <v>8.0</v>
      </c>
      <c r="B20" s="12" t="s">
        <v>44</v>
      </c>
      <c r="C20" s="32" t="s">
        <v>45</v>
      </c>
      <c r="D20" s="31" t="s">
        <v>46</v>
      </c>
      <c r="E20" s="31" t="s">
        <v>47</v>
      </c>
      <c r="F20" s="11"/>
      <c r="G20" s="30">
        <v>3.0</v>
      </c>
      <c r="H20" s="11"/>
      <c r="I20" s="34" t="s">
        <v>18</v>
      </c>
    </row>
    <row r="21">
      <c r="A21" s="30">
        <v>9.0</v>
      </c>
      <c r="B21" s="12" t="s">
        <v>48</v>
      </c>
      <c r="C21" s="32" t="s">
        <v>49</v>
      </c>
      <c r="D21" s="31" t="s">
        <v>50</v>
      </c>
      <c r="E21" s="31" t="s">
        <v>51</v>
      </c>
      <c r="F21" s="11"/>
      <c r="G21" s="30">
        <v>3.0</v>
      </c>
      <c r="H21" s="11"/>
      <c r="I21" s="34" t="s">
        <v>18</v>
      </c>
    </row>
    <row r="22">
      <c r="A22" s="30">
        <v>10.0</v>
      </c>
      <c r="B22" s="31" t="s">
        <v>52</v>
      </c>
      <c r="C22" s="32" t="s">
        <v>53</v>
      </c>
      <c r="D22" s="31" t="s">
        <v>54</v>
      </c>
      <c r="E22" s="31" t="s">
        <v>55</v>
      </c>
      <c r="F22" s="30"/>
      <c r="G22" s="30">
        <v>3.0</v>
      </c>
      <c r="H22" s="30"/>
      <c r="I22" s="34" t="s">
        <v>18</v>
      </c>
    </row>
    <row r="23">
      <c r="A23" s="29" t="s">
        <v>56</v>
      </c>
      <c r="B23" s="22"/>
      <c r="C23" s="22"/>
      <c r="D23" s="22"/>
      <c r="E23" s="22"/>
      <c r="F23" s="22"/>
      <c r="G23" s="22"/>
      <c r="H23" s="22"/>
      <c r="I23" s="23"/>
    </row>
    <row r="24">
      <c r="A24" s="30">
        <v>11.0</v>
      </c>
      <c r="B24" s="12" t="s">
        <v>57</v>
      </c>
      <c r="C24" s="32" t="s">
        <v>58</v>
      </c>
      <c r="D24" s="14"/>
      <c r="E24" s="31" t="s">
        <v>59</v>
      </c>
      <c r="F24" s="11"/>
      <c r="G24" s="30">
        <v>3.0</v>
      </c>
      <c r="H24" s="11"/>
      <c r="I24" s="34" t="s">
        <v>18</v>
      </c>
    </row>
    <row r="25">
      <c r="A25" s="29" t="s">
        <v>60</v>
      </c>
      <c r="B25" s="22"/>
      <c r="C25" s="22"/>
      <c r="D25" s="22"/>
      <c r="E25" s="22"/>
      <c r="F25" s="22"/>
      <c r="G25" s="22"/>
      <c r="H25" s="22"/>
      <c r="I25" s="23"/>
    </row>
    <row r="26">
      <c r="A26" s="30">
        <v>12.0</v>
      </c>
      <c r="B26" s="12" t="s">
        <v>61</v>
      </c>
      <c r="C26" s="32" t="s">
        <v>62</v>
      </c>
      <c r="D26" s="14"/>
      <c r="E26" s="31" t="s">
        <v>63</v>
      </c>
      <c r="F26" s="35" t="str">
        <f>HYPERLINK("https://firsakovae.youtrack.cloud/issue/TP-2", "BUG-2")</f>
        <v>BUG-2</v>
      </c>
      <c r="G26" s="30">
        <v>3.0</v>
      </c>
      <c r="H26" s="11"/>
      <c r="I26" s="34" t="s">
        <v>23</v>
      </c>
    </row>
    <row r="27">
      <c r="A27" s="29" t="s">
        <v>64</v>
      </c>
      <c r="B27" s="22"/>
      <c r="C27" s="22"/>
      <c r="D27" s="22"/>
      <c r="E27" s="22"/>
      <c r="F27" s="22"/>
      <c r="G27" s="22"/>
      <c r="H27" s="22"/>
      <c r="I27" s="23"/>
    </row>
    <row r="28">
      <c r="A28" s="30">
        <v>13.0</v>
      </c>
      <c r="B28" s="12" t="s">
        <v>65</v>
      </c>
      <c r="C28" s="32" t="s">
        <v>66</v>
      </c>
      <c r="D28" s="31" t="s">
        <v>67</v>
      </c>
      <c r="E28" s="31" t="s">
        <v>68</v>
      </c>
      <c r="F28" s="11"/>
      <c r="G28" s="30">
        <v>3.0</v>
      </c>
      <c r="H28" s="11"/>
      <c r="I28" s="34" t="s">
        <v>18</v>
      </c>
    </row>
    <row r="29">
      <c r="A29" s="30">
        <v>14.0</v>
      </c>
      <c r="B29" s="12" t="s">
        <v>69</v>
      </c>
      <c r="C29" s="32" t="s">
        <v>70</v>
      </c>
      <c r="D29" s="31" t="s">
        <v>71</v>
      </c>
      <c r="E29" s="31" t="s">
        <v>72</v>
      </c>
      <c r="F29" s="11"/>
      <c r="G29" s="30">
        <v>3.0</v>
      </c>
      <c r="H29" s="11"/>
      <c r="I29" s="34" t="s">
        <v>18</v>
      </c>
    </row>
    <row r="30">
      <c r="A30" s="30">
        <v>15.0</v>
      </c>
      <c r="B30" s="12" t="s">
        <v>73</v>
      </c>
      <c r="C30" s="32" t="s">
        <v>74</v>
      </c>
      <c r="D30" s="31" t="s">
        <v>75</v>
      </c>
      <c r="E30" s="33" t="s">
        <v>76</v>
      </c>
      <c r="F30" s="30"/>
      <c r="G30" s="30">
        <v>3.0</v>
      </c>
      <c r="H30" s="30"/>
      <c r="I30" s="34" t="s">
        <v>18</v>
      </c>
    </row>
    <row r="31">
      <c r="A31" s="29" t="s">
        <v>77</v>
      </c>
      <c r="B31" s="22"/>
      <c r="C31" s="22"/>
      <c r="D31" s="22"/>
      <c r="E31" s="22"/>
      <c r="F31" s="22"/>
      <c r="G31" s="22"/>
      <c r="H31" s="22"/>
      <c r="I31" s="23"/>
    </row>
    <row r="32">
      <c r="A32" s="30">
        <v>16.0</v>
      </c>
      <c r="B32" s="12" t="s">
        <v>78</v>
      </c>
      <c r="C32" s="32" t="s">
        <v>79</v>
      </c>
      <c r="D32" s="31" t="s">
        <v>80</v>
      </c>
      <c r="E32" s="31" t="s">
        <v>81</v>
      </c>
      <c r="F32" s="11"/>
      <c r="G32" s="30">
        <v>3.0</v>
      </c>
      <c r="H32" s="11"/>
      <c r="I32" s="34" t="s">
        <v>18</v>
      </c>
    </row>
    <row r="33">
      <c r="A33" s="30">
        <v>17.0</v>
      </c>
      <c r="B33" s="12" t="s">
        <v>82</v>
      </c>
      <c r="C33" s="32" t="s">
        <v>83</v>
      </c>
      <c r="D33" s="31" t="s">
        <v>84</v>
      </c>
      <c r="E33" s="31" t="s">
        <v>85</v>
      </c>
      <c r="F33" s="11"/>
      <c r="G33" s="30">
        <v>3.0</v>
      </c>
      <c r="H33" s="11"/>
      <c r="I33" s="34" t="s">
        <v>18</v>
      </c>
    </row>
    <row r="34">
      <c r="A34" s="30">
        <v>18.0</v>
      </c>
      <c r="B34" s="12" t="s">
        <v>86</v>
      </c>
      <c r="C34" s="32" t="s">
        <v>87</v>
      </c>
      <c r="D34" s="31" t="s">
        <v>88</v>
      </c>
      <c r="E34" s="33" t="s">
        <v>76</v>
      </c>
      <c r="F34" s="30"/>
      <c r="G34" s="30">
        <v>3.0</v>
      </c>
      <c r="H34" s="30"/>
      <c r="I34" s="34" t="s">
        <v>18</v>
      </c>
    </row>
    <row r="35">
      <c r="A35" s="29" t="s">
        <v>89</v>
      </c>
      <c r="B35" s="22"/>
      <c r="C35" s="22"/>
      <c r="D35" s="22"/>
      <c r="E35" s="22"/>
      <c r="F35" s="22"/>
      <c r="G35" s="22"/>
      <c r="H35" s="22"/>
      <c r="I35" s="23"/>
    </row>
    <row r="36">
      <c r="A36" s="30">
        <v>19.0</v>
      </c>
      <c r="B36" s="12" t="s">
        <v>90</v>
      </c>
      <c r="C36" s="32" t="s">
        <v>91</v>
      </c>
      <c r="D36" s="31" t="s">
        <v>92</v>
      </c>
      <c r="E36" s="31" t="s">
        <v>93</v>
      </c>
      <c r="F36" s="11"/>
      <c r="G36" s="30">
        <v>3.0</v>
      </c>
      <c r="H36" s="11"/>
      <c r="I36" s="34" t="s">
        <v>18</v>
      </c>
    </row>
    <row r="37">
      <c r="A37" s="30">
        <v>20.0</v>
      </c>
      <c r="B37" s="12" t="s">
        <v>94</v>
      </c>
      <c r="C37" s="32" t="s">
        <v>95</v>
      </c>
      <c r="D37" s="31" t="s">
        <v>96</v>
      </c>
      <c r="E37" s="31" t="s">
        <v>97</v>
      </c>
      <c r="F37" s="11"/>
      <c r="G37" s="30">
        <v>3.0</v>
      </c>
      <c r="H37" s="11"/>
      <c r="I37" s="34" t="s">
        <v>18</v>
      </c>
    </row>
    <row r="38">
      <c r="A38" s="30">
        <v>21.0</v>
      </c>
      <c r="B38" s="12" t="s">
        <v>98</v>
      </c>
      <c r="C38" s="32" t="s">
        <v>99</v>
      </c>
      <c r="D38" s="31" t="s">
        <v>100</v>
      </c>
      <c r="E38" s="33" t="s">
        <v>76</v>
      </c>
      <c r="F38" s="30"/>
      <c r="G38" s="30">
        <v>3.0</v>
      </c>
      <c r="H38" s="30"/>
      <c r="I38" s="34" t="s">
        <v>18</v>
      </c>
    </row>
    <row r="39">
      <c r="A39" s="29" t="s">
        <v>101</v>
      </c>
      <c r="B39" s="22"/>
      <c r="C39" s="22"/>
      <c r="D39" s="22"/>
      <c r="E39" s="22"/>
      <c r="F39" s="22"/>
      <c r="G39" s="22"/>
      <c r="H39" s="22"/>
      <c r="I39" s="23"/>
    </row>
    <row r="40">
      <c r="A40" s="30">
        <v>22.0</v>
      </c>
      <c r="B40" s="12" t="s">
        <v>102</v>
      </c>
      <c r="C40" s="32" t="s">
        <v>103</v>
      </c>
      <c r="D40" s="31" t="s">
        <v>104</v>
      </c>
      <c r="E40" s="31" t="s">
        <v>105</v>
      </c>
      <c r="F40" s="11"/>
      <c r="G40" s="30">
        <v>3.0</v>
      </c>
      <c r="H40" s="11"/>
      <c r="I40" s="34" t="s">
        <v>18</v>
      </c>
    </row>
    <row r="41">
      <c r="A41" s="30">
        <v>23.0</v>
      </c>
      <c r="B41" s="12" t="s">
        <v>106</v>
      </c>
      <c r="C41" s="32" t="s">
        <v>107</v>
      </c>
      <c r="D41" s="31" t="s">
        <v>108</v>
      </c>
      <c r="E41" s="31" t="s">
        <v>109</v>
      </c>
      <c r="F41" s="11"/>
      <c r="G41" s="30">
        <v>3.0</v>
      </c>
      <c r="H41" s="11"/>
      <c r="I41" s="34" t="s">
        <v>18</v>
      </c>
    </row>
    <row r="42">
      <c r="A42" s="30">
        <v>24.0</v>
      </c>
      <c r="B42" s="12" t="s">
        <v>110</v>
      </c>
      <c r="C42" s="32" t="s">
        <v>111</v>
      </c>
      <c r="D42" s="31" t="s">
        <v>112</v>
      </c>
      <c r="E42" s="33" t="s">
        <v>76</v>
      </c>
      <c r="F42" s="30"/>
      <c r="G42" s="30">
        <v>3.0</v>
      </c>
      <c r="H42" s="30"/>
      <c r="I42" s="34" t="s">
        <v>18</v>
      </c>
    </row>
    <row r="43">
      <c r="A43" s="29" t="s">
        <v>113</v>
      </c>
      <c r="B43" s="22"/>
      <c r="C43" s="22"/>
      <c r="D43" s="22"/>
      <c r="E43" s="22"/>
      <c r="F43" s="22"/>
      <c r="G43" s="22"/>
      <c r="H43" s="22"/>
      <c r="I43" s="23"/>
    </row>
    <row r="44">
      <c r="A44" s="30">
        <v>25.0</v>
      </c>
      <c r="B44" s="12" t="s">
        <v>114</v>
      </c>
      <c r="C44" s="32" t="s">
        <v>115</v>
      </c>
      <c r="D44" s="31" t="s">
        <v>116</v>
      </c>
      <c r="E44" s="31" t="s">
        <v>117</v>
      </c>
      <c r="F44" s="11"/>
      <c r="G44" s="30">
        <v>3.0</v>
      </c>
      <c r="H44" s="11"/>
      <c r="I44" s="34" t="s">
        <v>18</v>
      </c>
    </row>
    <row r="45">
      <c r="A45" s="30">
        <v>26.0</v>
      </c>
      <c r="B45" s="12" t="s">
        <v>118</v>
      </c>
      <c r="C45" s="32" t="s">
        <v>119</v>
      </c>
      <c r="D45" s="31" t="s">
        <v>120</v>
      </c>
      <c r="E45" s="31" t="s">
        <v>121</v>
      </c>
      <c r="F45" s="11"/>
      <c r="G45" s="30">
        <v>3.0</v>
      </c>
      <c r="H45" s="11"/>
      <c r="I45" s="34" t="s">
        <v>18</v>
      </c>
    </row>
    <row r="46">
      <c r="A46" s="30">
        <v>27.0</v>
      </c>
      <c r="B46" s="12" t="s">
        <v>122</v>
      </c>
      <c r="C46" s="32" t="s">
        <v>123</v>
      </c>
      <c r="D46" s="31" t="s">
        <v>124</v>
      </c>
      <c r="E46" s="33" t="s">
        <v>76</v>
      </c>
      <c r="F46" s="30"/>
      <c r="G46" s="30">
        <v>3.0</v>
      </c>
      <c r="H46" s="30"/>
      <c r="I46" s="34" t="s">
        <v>18</v>
      </c>
    </row>
    <row r="47">
      <c r="A47" s="29" t="s">
        <v>125</v>
      </c>
      <c r="B47" s="22"/>
      <c r="C47" s="22"/>
      <c r="D47" s="22"/>
      <c r="E47" s="22"/>
      <c r="F47" s="22"/>
      <c r="G47" s="22"/>
      <c r="H47" s="22"/>
      <c r="I47" s="23"/>
    </row>
    <row r="48">
      <c r="A48" s="30">
        <v>28.0</v>
      </c>
      <c r="B48" s="12" t="s">
        <v>126</v>
      </c>
      <c r="C48" s="32" t="s">
        <v>127</v>
      </c>
      <c r="D48" s="31" t="s">
        <v>128</v>
      </c>
      <c r="E48" s="31" t="s">
        <v>129</v>
      </c>
      <c r="F48" s="11"/>
      <c r="G48" s="30">
        <v>3.0</v>
      </c>
      <c r="H48" s="11"/>
      <c r="I48" s="34" t="s">
        <v>18</v>
      </c>
    </row>
    <row r="49">
      <c r="A49" s="30">
        <v>29.0</v>
      </c>
      <c r="B49" s="12" t="s">
        <v>130</v>
      </c>
      <c r="C49" s="32" t="s">
        <v>131</v>
      </c>
      <c r="D49" s="31" t="s">
        <v>132</v>
      </c>
      <c r="E49" s="31" t="s">
        <v>133</v>
      </c>
      <c r="F49" s="11"/>
      <c r="G49" s="30">
        <v>3.0</v>
      </c>
      <c r="H49" s="11"/>
      <c r="I49" s="34" t="s">
        <v>18</v>
      </c>
    </row>
    <row r="50">
      <c r="A50" s="30">
        <v>30.0</v>
      </c>
      <c r="B50" s="12" t="s">
        <v>134</v>
      </c>
      <c r="C50" s="32" t="s">
        <v>135</v>
      </c>
      <c r="D50" s="31" t="s">
        <v>136</v>
      </c>
      <c r="E50" s="33" t="s">
        <v>76</v>
      </c>
      <c r="F50" s="30"/>
      <c r="G50" s="30">
        <v>3.0</v>
      </c>
      <c r="H50" s="30"/>
      <c r="I50" s="34" t="s">
        <v>18</v>
      </c>
    </row>
    <row r="51">
      <c r="A51" s="29" t="s">
        <v>137</v>
      </c>
      <c r="B51" s="22"/>
      <c r="C51" s="22"/>
      <c r="D51" s="22"/>
      <c r="E51" s="22"/>
      <c r="F51" s="22"/>
      <c r="G51" s="22"/>
      <c r="H51" s="22"/>
      <c r="I51" s="23"/>
    </row>
    <row r="52">
      <c r="A52" s="30">
        <v>31.0</v>
      </c>
      <c r="B52" s="12" t="s">
        <v>138</v>
      </c>
      <c r="C52" s="32" t="s">
        <v>139</v>
      </c>
      <c r="D52" s="31" t="s">
        <v>140</v>
      </c>
      <c r="E52" s="31" t="s">
        <v>141</v>
      </c>
      <c r="F52" s="11"/>
      <c r="G52" s="30">
        <v>3.0</v>
      </c>
      <c r="H52" s="11"/>
      <c r="I52" s="34" t="s">
        <v>18</v>
      </c>
    </row>
    <row r="53">
      <c r="A53" s="30">
        <v>32.0</v>
      </c>
      <c r="B53" s="12" t="s">
        <v>142</v>
      </c>
      <c r="C53" s="32" t="s">
        <v>143</v>
      </c>
      <c r="D53" s="31" t="s">
        <v>144</v>
      </c>
      <c r="E53" s="31" t="s">
        <v>145</v>
      </c>
      <c r="F53" s="11"/>
      <c r="G53" s="30">
        <v>3.0</v>
      </c>
      <c r="H53" s="11"/>
      <c r="I53" s="34" t="s">
        <v>18</v>
      </c>
    </row>
    <row r="54">
      <c r="A54" s="30">
        <v>33.0</v>
      </c>
      <c r="B54" s="12" t="s">
        <v>146</v>
      </c>
      <c r="C54" s="32" t="s">
        <v>147</v>
      </c>
      <c r="D54" s="31" t="s">
        <v>148</v>
      </c>
      <c r="E54" s="33" t="s">
        <v>76</v>
      </c>
      <c r="F54" s="30"/>
      <c r="G54" s="30">
        <v>3.0</v>
      </c>
      <c r="H54" s="30"/>
      <c r="I54" s="34" t="s">
        <v>18</v>
      </c>
    </row>
    <row r="55">
      <c r="A55" s="29" t="s">
        <v>149</v>
      </c>
      <c r="B55" s="22"/>
      <c r="C55" s="22"/>
      <c r="D55" s="22"/>
      <c r="E55" s="22"/>
      <c r="F55" s="22"/>
      <c r="G55" s="22"/>
      <c r="H55" s="22"/>
      <c r="I55" s="23"/>
    </row>
    <row r="56">
      <c r="A56" s="30">
        <v>34.0</v>
      </c>
      <c r="B56" s="12" t="s">
        <v>150</v>
      </c>
      <c r="C56" s="32" t="s">
        <v>151</v>
      </c>
      <c r="D56" s="14"/>
      <c r="E56" s="31" t="s">
        <v>152</v>
      </c>
      <c r="F56" s="11"/>
      <c r="G56" s="30">
        <v>3.0</v>
      </c>
      <c r="H56" s="11"/>
      <c r="I56" s="34" t="s">
        <v>18</v>
      </c>
    </row>
    <row r="57">
      <c r="A57" s="30">
        <v>35.0</v>
      </c>
      <c r="B57" s="12" t="s">
        <v>153</v>
      </c>
      <c r="C57" s="32" t="s">
        <v>154</v>
      </c>
      <c r="D57" s="31" t="s">
        <v>155</v>
      </c>
      <c r="E57" s="31" t="s">
        <v>156</v>
      </c>
      <c r="F57" s="11"/>
      <c r="G57" s="30">
        <v>3.0</v>
      </c>
      <c r="H57" s="11"/>
      <c r="I57" s="34" t="s">
        <v>18</v>
      </c>
    </row>
    <row r="58">
      <c r="A58" s="30">
        <v>36.0</v>
      </c>
      <c r="B58" s="12" t="s">
        <v>157</v>
      </c>
      <c r="C58" s="32" t="s">
        <v>158</v>
      </c>
      <c r="D58" s="31" t="s">
        <v>159</v>
      </c>
      <c r="E58" s="31" t="s">
        <v>160</v>
      </c>
      <c r="F58" s="11"/>
      <c r="G58" s="30">
        <v>3.0</v>
      </c>
      <c r="H58" s="11"/>
      <c r="I58" s="34" t="s">
        <v>18</v>
      </c>
    </row>
    <row r="59">
      <c r="A59" s="30">
        <v>37.0</v>
      </c>
      <c r="B59" s="12" t="s">
        <v>161</v>
      </c>
      <c r="C59" s="32" t="s">
        <v>162</v>
      </c>
      <c r="D59" s="31" t="s">
        <v>163</v>
      </c>
      <c r="E59" s="33" t="s">
        <v>76</v>
      </c>
      <c r="F59" s="30"/>
      <c r="G59" s="30">
        <v>3.0</v>
      </c>
      <c r="H59" s="30"/>
      <c r="I59" s="34" t="s">
        <v>18</v>
      </c>
    </row>
    <row r="60">
      <c r="A60" s="29" t="s">
        <v>164</v>
      </c>
      <c r="B60" s="22"/>
      <c r="C60" s="22"/>
      <c r="D60" s="22"/>
      <c r="E60" s="22"/>
      <c r="F60" s="22"/>
      <c r="G60" s="22"/>
      <c r="H60" s="22"/>
      <c r="I60" s="23"/>
    </row>
    <row r="61">
      <c r="A61" s="29" t="s">
        <v>165</v>
      </c>
      <c r="B61" s="22"/>
      <c r="C61" s="22"/>
      <c r="D61" s="22"/>
      <c r="E61" s="22"/>
      <c r="F61" s="22"/>
      <c r="G61" s="22"/>
      <c r="H61" s="22"/>
      <c r="I61" s="23"/>
    </row>
    <row r="62">
      <c r="A62" s="30">
        <v>38.0</v>
      </c>
      <c r="B62" s="37" t="s">
        <v>166</v>
      </c>
      <c r="C62" s="32" t="s">
        <v>167</v>
      </c>
      <c r="D62" s="38"/>
      <c r="E62" s="31" t="s">
        <v>168</v>
      </c>
      <c r="F62" s="39"/>
      <c r="G62" s="40">
        <v>2.0</v>
      </c>
      <c r="H62" s="39"/>
      <c r="I62" s="34" t="s">
        <v>18</v>
      </c>
    </row>
    <row r="63">
      <c r="A63" s="29" t="s">
        <v>169</v>
      </c>
      <c r="B63" s="22"/>
      <c r="C63" s="22"/>
      <c r="D63" s="22"/>
      <c r="E63" s="22"/>
      <c r="F63" s="22"/>
      <c r="G63" s="22"/>
      <c r="H63" s="22"/>
      <c r="I63" s="23"/>
    </row>
    <row r="64">
      <c r="A64" s="30">
        <v>39.0</v>
      </c>
      <c r="B64" s="37" t="s">
        <v>170</v>
      </c>
      <c r="C64" s="32" t="s">
        <v>171</v>
      </c>
      <c r="D64" s="38"/>
      <c r="E64" s="31" t="s">
        <v>172</v>
      </c>
      <c r="F64" s="39"/>
      <c r="G64" s="40">
        <v>2.0</v>
      </c>
      <c r="H64" s="39"/>
      <c r="I64" s="34" t="s">
        <v>18</v>
      </c>
    </row>
    <row r="65">
      <c r="A65" s="29" t="s">
        <v>173</v>
      </c>
      <c r="B65" s="22"/>
      <c r="C65" s="22"/>
      <c r="D65" s="22"/>
      <c r="E65" s="22"/>
      <c r="F65" s="22"/>
      <c r="G65" s="22"/>
      <c r="H65" s="22"/>
      <c r="I65" s="23"/>
    </row>
    <row r="66">
      <c r="A66" s="30">
        <v>40.0</v>
      </c>
      <c r="B66" s="37" t="s">
        <v>174</v>
      </c>
      <c r="C66" s="32" t="s">
        <v>175</v>
      </c>
      <c r="D66" s="38"/>
      <c r="E66" s="31" t="s">
        <v>176</v>
      </c>
      <c r="F66" s="39"/>
      <c r="G66" s="40">
        <v>1.0</v>
      </c>
      <c r="H66" s="39"/>
      <c r="I66" s="34" t="s">
        <v>18</v>
      </c>
    </row>
    <row r="67">
      <c r="A67" s="30">
        <v>41.0</v>
      </c>
      <c r="B67" s="37" t="s">
        <v>177</v>
      </c>
      <c r="C67" s="32" t="s">
        <v>178</v>
      </c>
      <c r="D67" s="37" t="s">
        <v>179</v>
      </c>
      <c r="E67" s="31" t="s">
        <v>180</v>
      </c>
      <c r="F67" s="35" t="str">
        <f>HYPERLINK("https://firsakovae.youtrack.cloud/issue/TP-3", "BUG-3")</f>
        <v>BUG-3</v>
      </c>
      <c r="G67" s="40">
        <v>2.0</v>
      </c>
      <c r="H67" s="39"/>
      <c r="I67" s="34" t="s">
        <v>23</v>
      </c>
    </row>
    <row r="68">
      <c r="A68" s="30">
        <v>42.0</v>
      </c>
      <c r="B68" s="37" t="s">
        <v>181</v>
      </c>
      <c r="C68" s="32" t="s">
        <v>182</v>
      </c>
      <c r="D68" s="37" t="s">
        <v>183</v>
      </c>
      <c r="E68" s="31" t="s">
        <v>184</v>
      </c>
      <c r="F68" s="39"/>
      <c r="G68" s="40">
        <v>2.0</v>
      </c>
      <c r="H68" s="39"/>
      <c r="I68" s="34" t="s">
        <v>18</v>
      </c>
    </row>
    <row r="69">
      <c r="A69" s="29" t="s">
        <v>185</v>
      </c>
      <c r="B69" s="22"/>
      <c r="C69" s="22"/>
      <c r="D69" s="22"/>
      <c r="E69" s="22"/>
      <c r="F69" s="22"/>
      <c r="G69" s="22"/>
      <c r="H69" s="22"/>
      <c r="I69" s="23"/>
    </row>
    <row r="70">
      <c r="A70" s="30">
        <v>43.0</v>
      </c>
      <c r="B70" s="37" t="s">
        <v>186</v>
      </c>
      <c r="C70" s="32" t="s">
        <v>187</v>
      </c>
      <c r="D70" s="31" t="s">
        <v>188</v>
      </c>
      <c r="E70" s="31" t="s">
        <v>156</v>
      </c>
      <c r="F70" s="39"/>
      <c r="G70" s="30">
        <v>2.0</v>
      </c>
      <c r="H70" s="39"/>
      <c r="I70" s="34" t="s">
        <v>18</v>
      </c>
    </row>
    <row r="71">
      <c r="A71" s="30">
        <v>44.0</v>
      </c>
      <c r="B71" s="37" t="s">
        <v>142</v>
      </c>
      <c r="C71" s="32" t="s">
        <v>189</v>
      </c>
      <c r="D71" s="31" t="s">
        <v>190</v>
      </c>
      <c r="E71" s="31" t="s">
        <v>160</v>
      </c>
      <c r="F71" s="39"/>
      <c r="G71" s="30">
        <v>2.0</v>
      </c>
      <c r="H71" s="39"/>
      <c r="I71" s="34" t="s">
        <v>18</v>
      </c>
    </row>
    <row r="72">
      <c r="A72" s="30">
        <v>45.0</v>
      </c>
      <c r="B72" s="31" t="s">
        <v>191</v>
      </c>
      <c r="C72" s="32" t="s">
        <v>192</v>
      </c>
      <c r="D72" s="31" t="s">
        <v>193</v>
      </c>
      <c r="E72" s="33" t="s">
        <v>76</v>
      </c>
      <c r="F72" s="30"/>
      <c r="G72" s="30">
        <v>2.0</v>
      </c>
      <c r="H72" s="30"/>
      <c r="I72" s="34" t="s">
        <v>18</v>
      </c>
    </row>
    <row r="73">
      <c r="A73" s="29" t="s">
        <v>194</v>
      </c>
      <c r="B73" s="22"/>
      <c r="C73" s="22"/>
      <c r="D73" s="22"/>
      <c r="E73" s="22"/>
      <c r="F73" s="22"/>
      <c r="G73" s="22"/>
      <c r="H73" s="22"/>
      <c r="I73" s="23"/>
    </row>
    <row r="74">
      <c r="A74" s="30">
        <v>46.0</v>
      </c>
      <c r="B74" s="37" t="s">
        <v>195</v>
      </c>
      <c r="C74" s="32" t="s">
        <v>196</v>
      </c>
      <c r="D74" s="37" t="s">
        <v>197</v>
      </c>
      <c r="E74" s="31" t="s">
        <v>198</v>
      </c>
      <c r="F74" s="35" t="str">
        <f>HYPERLINK("https://firsakovae.youtrack.cloud/issue/TP-4", "BUG-4")</f>
        <v>BUG-4</v>
      </c>
      <c r="G74" s="30">
        <v>1.0</v>
      </c>
      <c r="H74" s="39"/>
      <c r="I74" s="34" t="s">
        <v>23</v>
      </c>
    </row>
    <row r="75">
      <c r="A75" s="29" t="s">
        <v>199</v>
      </c>
      <c r="B75" s="22"/>
      <c r="C75" s="22"/>
      <c r="D75" s="22"/>
      <c r="E75" s="22"/>
      <c r="F75" s="22"/>
      <c r="G75" s="22"/>
      <c r="H75" s="22"/>
      <c r="I75" s="23"/>
    </row>
    <row r="76">
      <c r="A76" s="30">
        <v>47.0</v>
      </c>
      <c r="B76" s="37" t="s">
        <v>200</v>
      </c>
      <c r="C76" s="32" t="s">
        <v>201</v>
      </c>
      <c r="D76" s="37" t="s">
        <v>202</v>
      </c>
      <c r="E76" s="31" t="s">
        <v>203</v>
      </c>
      <c r="F76" s="35" t="str">
        <f t="shared" ref="F76:F77" si="1">HYPERLINK("https://firsakovae.youtrack.cloud/issue/TP-5", "BUG-5")</f>
        <v>BUG-5</v>
      </c>
      <c r="G76" s="30">
        <v>2.0</v>
      </c>
      <c r="H76" s="39"/>
      <c r="I76" s="34" t="s">
        <v>23</v>
      </c>
    </row>
    <row r="77">
      <c r="A77" s="30">
        <v>48.0</v>
      </c>
      <c r="B77" s="37" t="s">
        <v>204</v>
      </c>
      <c r="C77" s="32" t="s">
        <v>205</v>
      </c>
      <c r="D77" s="37" t="s">
        <v>206</v>
      </c>
      <c r="E77" s="31" t="s">
        <v>207</v>
      </c>
      <c r="F77" s="35" t="str">
        <f t="shared" si="1"/>
        <v>BUG-5</v>
      </c>
      <c r="G77" s="30">
        <v>1.0</v>
      </c>
      <c r="H77" s="39"/>
      <c r="I77" s="34" t="s">
        <v>23</v>
      </c>
    </row>
    <row r="78">
      <c r="A78" s="30">
        <v>49.0</v>
      </c>
      <c r="B78" s="37" t="s">
        <v>208</v>
      </c>
      <c r="C78" s="41"/>
      <c r="D78" s="37" t="s">
        <v>209</v>
      </c>
      <c r="E78" s="31" t="s">
        <v>210</v>
      </c>
      <c r="F78" s="39"/>
      <c r="G78" s="30">
        <v>2.0</v>
      </c>
      <c r="H78" s="39"/>
      <c r="I78" s="34" t="s">
        <v>18</v>
      </c>
    </row>
    <row r="79">
      <c r="A79" s="30">
        <v>50.0</v>
      </c>
      <c r="B79" s="37" t="s">
        <v>211</v>
      </c>
      <c r="C79" s="32" t="s">
        <v>212</v>
      </c>
      <c r="D79" s="37" t="s">
        <v>213</v>
      </c>
      <c r="E79" s="31" t="s">
        <v>214</v>
      </c>
      <c r="F79" s="39"/>
      <c r="G79" s="30">
        <v>2.0</v>
      </c>
      <c r="H79" s="39"/>
      <c r="I79" s="34" t="s">
        <v>18</v>
      </c>
    </row>
    <row r="80">
      <c r="A80" s="30">
        <v>51.0</v>
      </c>
      <c r="B80" s="37" t="s">
        <v>215</v>
      </c>
      <c r="C80" s="32" t="s">
        <v>216</v>
      </c>
      <c r="D80" s="37" t="s">
        <v>217</v>
      </c>
      <c r="E80" s="31" t="s">
        <v>218</v>
      </c>
      <c r="F80" s="30"/>
      <c r="G80" s="30">
        <v>2.0</v>
      </c>
      <c r="H80" s="30"/>
      <c r="I80" s="34" t="s">
        <v>18</v>
      </c>
    </row>
    <row r="81">
      <c r="A81" s="30">
        <v>52.0</v>
      </c>
      <c r="B81" s="31" t="s">
        <v>219</v>
      </c>
      <c r="C81" s="32" t="s">
        <v>220</v>
      </c>
      <c r="D81" s="37" t="s">
        <v>221</v>
      </c>
      <c r="E81" s="31" t="s">
        <v>222</v>
      </c>
      <c r="F81" s="30"/>
      <c r="G81" s="30">
        <v>2.0</v>
      </c>
      <c r="H81" s="30"/>
      <c r="I81" s="34" t="s">
        <v>18</v>
      </c>
    </row>
    <row r="82">
      <c r="A82" s="29" t="s">
        <v>223</v>
      </c>
      <c r="B82" s="22"/>
      <c r="C82" s="22"/>
      <c r="D82" s="22"/>
      <c r="E82" s="22"/>
      <c r="F82" s="22"/>
      <c r="G82" s="22"/>
      <c r="H82" s="22"/>
      <c r="I82" s="23"/>
    </row>
    <row r="83">
      <c r="A83" s="30">
        <v>53.0</v>
      </c>
      <c r="B83" s="37" t="s">
        <v>224</v>
      </c>
      <c r="C83" s="32" t="s">
        <v>225</v>
      </c>
      <c r="D83" s="37" t="s">
        <v>226</v>
      </c>
      <c r="E83" s="31" t="s">
        <v>227</v>
      </c>
      <c r="F83" s="35" t="str">
        <f t="shared" ref="F83:F84" si="2">HYPERLINK("https://firsakovae.youtrack.cloud/issue/TP-6", "BUG-6")</f>
        <v>BUG-6</v>
      </c>
      <c r="G83" s="30">
        <v>2.0</v>
      </c>
      <c r="H83" s="39"/>
      <c r="I83" s="34" t="s">
        <v>23</v>
      </c>
    </row>
    <row r="84">
      <c r="A84" s="30">
        <v>54.0</v>
      </c>
      <c r="B84" s="37" t="s">
        <v>228</v>
      </c>
      <c r="C84" s="32" t="s">
        <v>229</v>
      </c>
      <c r="D84" s="37" t="s">
        <v>230</v>
      </c>
      <c r="E84" s="31" t="s">
        <v>231</v>
      </c>
      <c r="F84" s="35" t="str">
        <f t="shared" si="2"/>
        <v>BUG-6</v>
      </c>
      <c r="G84" s="30">
        <v>1.0</v>
      </c>
      <c r="H84" s="39"/>
      <c r="I84" s="34" t="s">
        <v>23</v>
      </c>
    </row>
    <row r="85">
      <c r="A85" s="30">
        <v>55.0</v>
      </c>
      <c r="B85" s="37" t="s">
        <v>232</v>
      </c>
      <c r="C85" s="32" t="s">
        <v>233</v>
      </c>
      <c r="D85" s="37" t="s">
        <v>226</v>
      </c>
      <c r="E85" s="31" t="s">
        <v>105</v>
      </c>
      <c r="F85" s="39"/>
      <c r="G85" s="30">
        <v>2.0</v>
      </c>
      <c r="H85" s="39"/>
      <c r="I85" s="34" t="s">
        <v>18</v>
      </c>
    </row>
    <row r="86">
      <c r="A86" s="30">
        <v>56.0</v>
      </c>
      <c r="B86" s="37" t="s">
        <v>234</v>
      </c>
      <c r="C86" s="32" t="s">
        <v>235</v>
      </c>
      <c r="D86" s="37" t="s">
        <v>236</v>
      </c>
      <c r="E86" s="31" t="s">
        <v>237</v>
      </c>
      <c r="F86" s="39"/>
      <c r="G86" s="30">
        <v>2.0</v>
      </c>
      <c r="H86" s="39"/>
      <c r="I86" s="34" t="s">
        <v>18</v>
      </c>
    </row>
    <row r="87">
      <c r="A87" s="30">
        <v>57.0</v>
      </c>
      <c r="B87" s="31" t="s">
        <v>238</v>
      </c>
      <c r="C87" s="32" t="s">
        <v>239</v>
      </c>
      <c r="D87" s="37" t="s">
        <v>240</v>
      </c>
      <c r="E87" s="33" t="s">
        <v>76</v>
      </c>
      <c r="F87" s="30"/>
      <c r="G87" s="30">
        <v>2.0</v>
      </c>
      <c r="H87" s="30"/>
      <c r="I87" s="34" t="s">
        <v>18</v>
      </c>
    </row>
    <row r="88">
      <c r="A88" s="29" t="s">
        <v>241</v>
      </c>
      <c r="B88" s="22"/>
      <c r="C88" s="22"/>
      <c r="D88" s="22"/>
      <c r="E88" s="22"/>
      <c r="F88" s="22"/>
      <c r="G88" s="22"/>
      <c r="H88" s="22"/>
      <c r="I88" s="23"/>
    </row>
    <row r="89">
      <c r="A89" s="30">
        <v>58.0</v>
      </c>
      <c r="B89" s="37" t="s">
        <v>242</v>
      </c>
      <c r="C89" s="32" t="s">
        <v>243</v>
      </c>
      <c r="D89" s="37" t="s">
        <v>197</v>
      </c>
      <c r="E89" s="12" t="s">
        <v>244</v>
      </c>
      <c r="F89" s="39"/>
      <c r="G89" s="30">
        <v>1.0</v>
      </c>
      <c r="H89" s="39"/>
      <c r="I89" s="34" t="s">
        <v>18</v>
      </c>
    </row>
    <row r="90">
      <c r="A90" s="30">
        <v>59.0</v>
      </c>
      <c r="B90" s="37" t="s">
        <v>245</v>
      </c>
      <c r="C90" s="32" t="s">
        <v>246</v>
      </c>
      <c r="D90" s="37" t="s">
        <v>247</v>
      </c>
      <c r="E90" s="12" t="s">
        <v>244</v>
      </c>
      <c r="F90" s="39"/>
      <c r="G90" s="30">
        <v>2.0</v>
      </c>
      <c r="H90" s="39"/>
      <c r="I90" s="34" t="s">
        <v>18</v>
      </c>
    </row>
    <row r="91">
      <c r="A91" s="30">
        <v>60.0</v>
      </c>
      <c r="B91" s="37" t="s">
        <v>248</v>
      </c>
      <c r="C91" s="32" t="s">
        <v>249</v>
      </c>
      <c r="D91" s="37" t="s">
        <v>250</v>
      </c>
      <c r="E91" s="31" t="s">
        <v>251</v>
      </c>
      <c r="F91" s="39"/>
      <c r="G91" s="30">
        <v>2.0</v>
      </c>
      <c r="H91" s="39"/>
      <c r="I91" s="34" t="s">
        <v>18</v>
      </c>
    </row>
    <row r="92">
      <c r="A92" s="30">
        <v>61.0</v>
      </c>
      <c r="B92" s="37" t="s">
        <v>252</v>
      </c>
      <c r="C92" s="32" t="s">
        <v>253</v>
      </c>
      <c r="D92" s="37" t="s">
        <v>254</v>
      </c>
      <c r="E92" s="31" t="s">
        <v>255</v>
      </c>
      <c r="F92" s="39"/>
      <c r="G92" s="30">
        <v>2.0</v>
      </c>
      <c r="H92" s="39"/>
      <c r="I92" s="34" t="s">
        <v>18</v>
      </c>
    </row>
    <row r="93">
      <c r="A93" s="30">
        <v>62.0</v>
      </c>
      <c r="B93" s="37" t="s">
        <v>256</v>
      </c>
      <c r="C93" s="32" t="s">
        <v>257</v>
      </c>
      <c r="D93" s="37" t="s">
        <v>258</v>
      </c>
      <c r="E93" s="31" t="s">
        <v>259</v>
      </c>
      <c r="F93" s="39"/>
      <c r="G93" s="30">
        <v>2.0</v>
      </c>
      <c r="H93" s="39"/>
      <c r="I93" s="34" t="s">
        <v>18</v>
      </c>
    </row>
    <row r="94">
      <c r="A94" s="30">
        <v>63.0</v>
      </c>
      <c r="B94" s="37" t="s">
        <v>260</v>
      </c>
      <c r="C94" s="32" t="s">
        <v>261</v>
      </c>
      <c r="D94" s="37" t="s">
        <v>262</v>
      </c>
      <c r="E94" s="31" t="s">
        <v>255</v>
      </c>
      <c r="F94" s="39"/>
      <c r="G94" s="30">
        <v>2.0</v>
      </c>
      <c r="H94" s="39"/>
      <c r="I94" s="34" t="s">
        <v>18</v>
      </c>
    </row>
    <row r="95">
      <c r="A95" s="30">
        <v>64.0</v>
      </c>
      <c r="B95" s="37" t="s">
        <v>263</v>
      </c>
      <c r="C95" s="32" t="s">
        <v>264</v>
      </c>
      <c r="D95" s="37" t="s">
        <v>265</v>
      </c>
      <c r="E95" s="31" t="s">
        <v>259</v>
      </c>
      <c r="F95" s="39"/>
      <c r="G95" s="30">
        <v>2.0</v>
      </c>
      <c r="H95" s="39"/>
      <c r="I95" s="34" t="s">
        <v>18</v>
      </c>
    </row>
    <row r="96">
      <c r="A96" s="30">
        <v>65.0</v>
      </c>
      <c r="B96" s="37" t="s">
        <v>266</v>
      </c>
      <c r="C96" s="32" t="s">
        <v>267</v>
      </c>
      <c r="D96" s="37" t="s">
        <v>268</v>
      </c>
      <c r="E96" s="31" t="s">
        <v>269</v>
      </c>
      <c r="F96" s="39"/>
      <c r="G96" s="30">
        <v>2.0</v>
      </c>
      <c r="H96" s="39"/>
      <c r="I96" s="34" t="s">
        <v>18</v>
      </c>
    </row>
    <row r="97">
      <c r="A97" s="30">
        <v>66.0</v>
      </c>
      <c r="B97" s="37" t="s">
        <v>270</v>
      </c>
      <c r="C97" s="32" t="s">
        <v>271</v>
      </c>
      <c r="D97" s="37" t="s">
        <v>272</v>
      </c>
      <c r="E97" s="31" t="s">
        <v>273</v>
      </c>
      <c r="F97" s="39"/>
      <c r="G97" s="30">
        <v>2.0</v>
      </c>
      <c r="H97" s="39"/>
      <c r="I97" s="34" t="s">
        <v>18</v>
      </c>
    </row>
    <row r="98">
      <c r="A98" s="30">
        <v>67.0</v>
      </c>
      <c r="B98" s="31" t="s">
        <v>274</v>
      </c>
      <c r="C98" s="32" t="s">
        <v>275</v>
      </c>
      <c r="D98" s="37" t="s">
        <v>276</v>
      </c>
      <c r="E98" s="31" t="s">
        <v>259</v>
      </c>
      <c r="F98" s="35" t="str">
        <f>HYPERLINK("https://firsakovae.youtrack.cloud/issue/TP-7", "BUG-7")</f>
        <v>BUG-7</v>
      </c>
      <c r="G98" s="30">
        <v>2.0</v>
      </c>
      <c r="H98" s="30"/>
      <c r="I98" s="34" t="s">
        <v>23</v>
      </c>
    </row>
    <row r="99">
      <c r="A99" s="29" t="s">
        <v>277</v>
      </c>
      <c r="B99" s="22"/>
      <c r="C99" s="22"/>
      <c r="D99" s="22"/>
      <c r="E99" s="22"/>
      <c r="F99" s="22"/>
      <c r="G99" s="22"/>
      <c r="H99" s="22"/>
      <c r="I99" s="23"/>
    </row>
    <row r="100">
      <c r="A100" s="30">
        <v>68.0</v>
      </c>
      <c r="B100" s="31" t="s">
        <v>278</v>
      </c>
      <c r="C100" s="32" t="s">
        <v>279</v>
      </c>
      <c r="D100" s="37" t="s">
        <v>280</v>
      </c>
      <c r="E100" s="42" t="s">
        <v>281</v>
      </c>
      <c r="F100" s="30"/>
      <c r="G100" s="30">
        <v>2.0</v>
      </c>
      <c r="H100" s="30"/>
      <c r="I100" s="34" t="s">
        <v>18</v>
      </c>
    </row>
    <row r="101">
      <c r="A101" s="29" t="s">
        <v>282</v>
      </c>
      <c r="B101" s="22"/>
      <c r="C101" s="22"/>
      <c r="D101" s="22"/>
      <c r="E101" s="22"/>
      <c r="F101" s="22"/>
      <c r="G101" s="22"/>
      <c r="H101" s="22"/>
      <c r="I101" s="23"/>
    </row>
    <row r="102">
      <c r="A102" s="30">
        <v>69.0</v>
      </c>
      <c r="B102" s="37" t="s">
        <v>283</v>
      </c>
      <c r="C102" s="32" t="s">
        <v>284</v>
      </c>
      <c r="D102" s="37" t="s">
        <v>285</v>
      </c>
      <c r="E102" s="12" t="s">
        <v>286</v>
      </c>
      <c r="F102" s="43" t="str">
        <f>HYPERLINK("https://firsakovae.youtrack.cloud/issue/TP-8", "BUG-8")</f>
        <v>BUG-8</v>
      </c>
      <c r="G102" s="30">
        <v>1.0</v>
      </c>
      <c r="H102" s="39"/>
      <c r="I102" s="34" t="s">
        <v>23</v>
      </c>
    </row>
    <row r="103">
      <c r="A103" s="30">
        <v>70.0</v>
      </c>
      <c r="B103" s="37" t="s">
        <v>287</v>
      </c>
      <c r="C103" s="32" t="s">
        <v>288</v>
      </c>
      <c r="D103" s="37" t="s">
        <v>289</v>
      </c>
      <c r="E103" s="31" t="s">
        <v>105</v>
      </c>
      <c r="F103" s="43" t="str">
        <f>HYPERLINK("https://firsakovae.youtrack.cloud/issue/TP-9", "BUG-9")</f>
        <v>BUG-9</v>
      </c>
      <c r="G103" s="30">
        <v>2.0</v>
      </c>
      <c r="H103" s="39"/>
      <c r="I103" s="34" t="s">
        <v>23</v>
      </c>
    </row>
    <row r="104">
      <c r="A104" s="30">
        <v>71.0</v>
      </c>
      <c r="B104" s="37" t="s">
        <v>290</v>
      </c>
      <c r="C104" s="32" t="s">
        <v>291</v>
      </c>
      <c r="D104" s="37" t="s">
        <v>292</v>
      </c>
      <c r="E104" s="12" t="s">
        <v>293</v>
      </c>
      <c r="F104" s="43" t="str">
        <f>HYPERLINK("https://firsakovae.youtrack.cloud/issue/TP-10", "BUG-10")</f>
        <v>BUG-10</v>
      </c>
      <c r="G104" s="30">
        <v>1.0</v>
      </c>
      <c r="H104" s="39"/>
      <c r="I104" s="34" t="s">
        <v>23</v>
      </c>
    </row>
    <row r="105">
      <c r="A105" s="30">
        <v>72.0</v>
      </c>
      <c r="B105" s="37" t="s">
        <v>294</v>
      </c>
      <c r="C105" s="32" t="s">
        <v>295</v>
      </c>
      <c r="D105" s="37" t="s">
        <v>296</v>
      </c>
      <c r="E105" s="12" t="s">
        <v>297</v>
      </c>
      <c r="F105" s="43" t="str">
        <f>HYPERLINK("https://firsakovae.youtrack.cloud/issue/TP-11", "BUG-11")</f>
        <v>BUG-11</v>
      </c>
      <c r="G105" s="30">
        <v>1.0</v>
      </c>
      <c r="H105" s="39"/>
      <c r="I105" s="34" t="s">
        <v>23</v>
      </c>
    </row>
    <row r="106">
      <c r="A106" s="30">
        <v>73.0</v>
      </c>
      <c r="B106" s="37" t="s">
        <v>298</v>
      </c>
      <c r="C106" s="32" t="s">
        <v>299</v>
      </c>
      <c r="D106" s="37" t="s">
        <v>300</v>
      </c>
      <c r="E106" s="12" t="s">
        <v>297</v>
      </c>
      <c r="F106" s="43" t="str">
        <f>HYPERLINK("https://firsakovae.youtrack.cloud/issue/TP-10", "BUG-10")</f>
        <v>BUG-10</v>
      </c>
      <c r="G106" s="30">
        <v>1.0</v>
      </c>
      <c r="H106" s="39"/>
      <c r="I106" s="34" t="s">
        <v>23</v>
      </c>
    </row>
    <row r="107">
      <c r="A107" s="30">
        <v>74.0</v>
      </c>
      <c r="B107" s="31" t="s">
        <v>301</v>
      </c>
      <c r="C107" s="32" t="s">
        <v>302</v>
      </c>
      <c r="D107" s="37" t="s">
        <v>303</v>
      </c>
      <c r="E107" s="33" t="s">
        <v>304</v>
      </c>
      <c r="F107" s="30"/>
      <c r="G107" s="30">
        <v>2.0</v>
      </c>
      <c r="H107" s="30"/>
      <c r="I107" s="34" t="s">
        <v>18</v>
      </c>
    </row>
    <row r="108">
      <c r="A108" s="29" t="s">
        <v>305</v>
      </c>
      <c r="B108" s="22"/>
      <c r="C108" s="22"/>
      <c r="D108" s="22"/>
      <c r="E108" s="22"/>
      <c r="F108" s="22"/>
      <c r="G108" s="22"/>
      <c r="H108" s="22"/>
      <c r="I108" s="23"/>
    </row>
    <row r="109" ht="60.0" customHeight="1">
      <c r="A109" s="44">
        <v>75.0</v>
      </c>
      <c r="B109" s="45" t="s">
        <v>306</v>
      </c>
      <c r="C109" s="46" t="s">
        <v>307</v>
      </c>
      <c r="D109" s="45" t="s">
        <v>292</v>
      </c>
      <c r="E109" s="47" t="s">
        <v>308</v>
      </c>
      <c r="F109" s="43" t="str">
        <f>HYPERLINK("https://firsakovae.youtrack.cloud/issue/TP-12", "BUG-12")</f>
        <v>BUG-12</v>
      </c>
      <c r="G109" s="44">
        <v>2.0</v>
      </c>
      <c r="H109" s="48"/>
      <c r="I109" s="49" t="s">
        <v>23</v>
      </c>
    </row>
    <row r="110" ht="60.0" customHeight="1">
      <c r="A110" s="28"/>
      <c r="B110" s="28"/>
      <c r="C110" s="28"/>
      <c r="D110" s="28"/>
      <c r="E110" s="28"/>
      <c r="F110" s="43" t="str">
        <f>HYPERLINK("https://firsakovae.youtrack.cloud/issue/TP-13", "BUG-13")</f>
        <v>BUG-13</v>
      </c>
      <c r="G110" s="28"/>
      <c r="H110" s="28"/>
      <c r="I110" s="28"/>
    </row>
    <row r="111">
      <c r="A111" s="30">
        <v>76.0</v>
      </c>
      <c r="B111" s="37" t="s">
        <v>309</v>
      </c>
      <c r="C111" s="32" t="s">
        <v>310</v>
      </c>
      <c r="D111" s="37" t="s">
        <v>311</v>
      </c>
      <c r="E111" s="31" t="s">
        <v>312</v>
      </c>
      <c r="F111" s="39"/>
      <c r="G111" s="30">
        <v>2.0</v>
      </c>
      <c r="H111" s="39"/>
      <c r="I111" s="34" t="s">
        <v>18</v>
      </c>
    </row>
    <row r="112">
      <c r="A112" s="30">
        <v>77.0</v>
      </c>
      <c r="B112" s="37" t="s">
        <v>313</v>
      </c>
      <c r="C112" s="32" t="s">
        <v>314</v>
      </c>
      <c r="D112" s="37" t="s">
        <v>315</v>
      </c>
      <c r="E112" s="31" t="s">
        <v>316</v>
      </c>
      <c r="F112" s="39"/>
      <c r="G112" s="30">
        <v>2.0</v>
      </c>
      <c r="H112" s="39"/>
      <c r="I112" s="34" t="s">
        <v>18</v>
      </c>
    </row>
    <row r="113">
      <c r="A113" s="30">
        <v>78.0</v>
      </c>
      <c r="B113" s="31" t="s">
        <v>317</v>
      </c>
      <c r="C113" s="32" t="s">
        <v>318</v>
      </c>
      <c r="D113" s="37" t="s">
        <v>319</v>
      </c>
      <c r="E113" s="33" t="s">
        <v>304</v>
      </c>
      <c r="F113" s="39"/>
      <c r="G113" s="30">
        <v>2.0</v>
      </c>
      <c r="H113" s="39"/>
      <c r="I113" s="34" t="s">
        <v>18</v>
      </c>
    </row>
    <row r="114">
      <c r="A114" s="30">
        <v>79.0</v>
      </c>
      <c r="B114" s="37" t="s">
        <v>320</v>
      </c>
      <c r="C114" s="32" t="s">
        <v>321</v>
      </c>
      <c r="D114" s="37" t="s">
        <v>322</v>
      </c>
      <c r="E114" s="31" t="s">
        <v>323</v>
      </c>
      <c r="F114" s="39"/>
      <c r="G114" s="30">
        <v>2.0</v>
      </c>
      <c r="H114" s="39"/>
      <c r="I114" s="34" t="s">
        <v>18</v>
      </c>
    </row>
    <row r="115">
      <c r="A115" s="30">
        <v>80.0</v>
      </c>
      <c r="B115" s="37" t="s">
        <v>324</v>
      </c>
      <c r="C115" s="32" t="s">
        <v>325</v>
      </c>
      <c r="D115" s="37" t="s">
        <v>326</v>
      </c>
      <c r="E115" s="31" t="s">
        <v>327</v>
      </c>
      <c r="F115" s="39"/>
      <c r="G115" s="30">
        <v>2.0</v>
      </c>
      <c r="H115" s="39"/>
      <c r="I115" s="34" t="s">
        <v>18</v>
      </c>
    </row>
    <row r="116">
      <c r="A116" s="30">
        <v>81.0</v>
      </c>
      <c r="B116" s="37" t="s">
        <v>328</v>
      </c>
      <c r="C116" s="32" t="s">
        <v>329</v>
      </c>
      <c r="D116" s="37" t="s">
        <v>330</v>
      </c>
      <c r="E116" s="33" t="s">
        <v>304</v>
      </c>
      <c r="F116" s="39"/>
      <c r="G116" s="30">
        <v>2.0</v>
      </c>
      <c r="H116" s="39"/>
      <c r="I116" s="34" t="s">
        <v>18</v>
      </c>
    </row>
    <row r="117">
      <c r="A117" s="29" t="s">
        <v>331</v>
      </c>
      <c r="B117" s="22"/>
      <c r="C117" s="22"/>
      <c r="D117" s="22"/>
      <c r="E117" s="22"/>
      <c r="F117" s="22"/>
      <c r="G117" s="22"/>
      <c r="H117" s="22"/>
      <c r="I117" s="23"/>
    </row>
    <row r="118">
      <c r="A118" s="29" t="s">
        <v>332</v>
      </c>
      <c r="B118" s="22"/>
      <c r="C118" s="22"/>
      <c r="D118" s="22"/>
      <c r="E118" s="22"/>
      <c r="F118" s="22"/>
      <c r="G118" s="22"/>
      <c r="H118" s="22"/>
      <c r="I118" s="23"/>
    </row>
    <row r="119">
      <c r="A119" s="30">
        <v>82.0</v>
      </c>
      <c r="B119" s="37" t="s">
        <v>333</v>
      </c>
      <c r="C119" s="32" t="s">
        <v>334</v>
      </c>
      <c r="D119" s="37" t="s">
        <v>335</v>
      </c>
      <c r="E119" s="37" t="s">
        <v>336</v>
      </c>
      <c r="F119" s="37"/>
      <c r="G119" s="50">
        <v>3.0</v>
      </c>
      <c r="H119" s="37"/>
      <c r="I119" s="34" t="s">
        <v>18</v>
      </c>
    </row>
    <row r="120">
      <c r="A120" s="29" t="s">
        <v>337</v>
      </c>
      <c r="B120" s="22"/>
      <c r="C120" s="22"/>
      <c r="D120" s="22"/>
      <c r="E120" s="22"/>
      <c r="F120" s="22"/>
      <c r="G120" s="22"/>
      <c r="H120" s="22"/>
      <c r="I120" s="23"/>
    </row>
    <row r="121">
      <c r="A121" s="30">
        <v>83.0</v>
      </c>
      <c r="B121" s="12" t="s">
        <v>338</v>
      </c>
      <c r="C121" s="32" t="s">
        <v>339</v>
      </c>
      <c r="D121" s="37" t="s">
        <v>335</v>
      </c>
      <c r="E121" s="31" t="s">
        <v>340</v>
      </c>
      <c r="F121" s="39"/>
      <c r="G121" s="30">
        <v>3.0</v>
      </c>
      <c r="H121" s="39"/>
      <c r="I121" s="34" t="s">
        <v>18</v>
      </c>
    </row>
    <row r="122">
      <c r="A122" s="30">
        <v>84.0</v>
      </c>
      <c r="B122" s="12" t="s">
        <v>341</v>
      </c>
      <c r="C122" s="32" t="s">
        <v>342</v>
      </c>
      <c r="D122" s="37" t="s">
        <v>343</v>
      </c>
      <c r="E122" s="31" t="s">
        <v>344</v>
      </c>
      <c r="F122" s="39"/>
      <c r="G122" s="30">
        <v>3.0</v>
      </c>
      <c r="H122" s="39"/>
      <c r="I122" s="34" t="s">
        <v>18</v>
      </c>
    </row>
    <row r="123">
      <c r="A123" s="30">
        <v>85.0</v>
      </c>
      <c r="B123" s="12" t="s">
        <v>345</v>
      </c>
      <c r="C123" s="32" t="s">
        <v>346</v>
      </c>
      <c r="D123" s="37" t="s">
        <v>347</v>
      </c>
      <c r="E123" s="31" t="s">
        <v>27</v>
      </c>
      <c r="F123" s="39"/>
      <c r="G123" s="30">
        <v>3.0</v>
      </c>
      <c r="H123" s="39"/>
      <c r="I123" s="34" t="s">
        <v>18</v>
      </c>
    </row>
    <row r="124">
      <c r="A124" s="30">
        <v>86.0</v>
      </c>
      <c r="B124" s="12" t="s">
        <v>348</v>
      </c>
      <c r="C124" s="32" t="s">
        <v>349</v>
      </c>
      <c r="D124" s="37" t="s">
        <v>350</v>
      </c>
      <c r="E124" s="33" t="s">
        <v>222</v>
      </c>
      <c r="F124" s="39"/>
      <c r="G124" s="30">
        <v>3.0</v>
      </c>
      <c r="H124" s="39"/>
      <c r="I124" s="34" t="s">
        <v>18</v>
      </c>
    </row>
    <row r="125">
      <c r="A125" s="29" t="s">
        <v>351</v>
      </c>
      <c r="B125" s="22"/>
      <c r="C125" s="22"/>
      <c r="D125" s="22"/>
      <c r="E125" s="22"/>
      <c r="F125" s="22"/>
      <c r="G125" s="22"/>
      <c r="H125" s="22"/>
      <c r="I125" s="23"/>
    </row>
    <row r="126">
      <c r="A126" s="30">
        <v>87.0</v>
      </c>
      <c r="B126" s="12" t="s">
        <v>352</v>
      </c>
      <c r="C126" s="32" t="s">
        <v>353</v>
      </c>
      <c r="D126" s="37" t="s">
        <v>335</v>
      </c>
      <c r="E126" s="31" t="s">
        <v>340</v>
      </c>
      <c r="F126" s="39"/>
      <c r="G126" s="30">
        <v>3.0</v>
      </c>
      <c r="H126" s="39"/>
      <c r="I126" s="34" t="s">
        <v>18</v>
      </c>
    </row>
    <row r="127">
      <c r="A127" s="30">
        <v>88.0</v>
      </c>
      <c r="B127" s="12" t="s">
        <v>354</v>
      </c>
      <c r="C127" s="32" t="s">
        <v>355</v>
      </c>
      <c r="D127" s="37" t="s">
        <v>356</v>
      </c>
      <c r="E127" s="31" t="s">
        <v>344</v>
      </c>
      <c r="F127" s="39"/>
      <c r="G127" s="30">
        <v>3.0</v>
      </c>
      <c r="H127" s="39"/>
      <c r="I127" s="34" t="s">
        <v>18</v>
      </c>
    </row>
    <row r="128">
      <c r="A128" s="30">
        <v>89.0</v>
      </c>
      <c r="B128" s="12" t="s">
        <v>357</v>
      </c>
      <c r="C128" s="32" t="s">
        <v>358</v>
      </c>
      <c r="D128" s="37" t="s">
        <v>359</v>
      </c>
      <c r="E128" s="31" t="s">
        <v>360</v>
      </c>
      <c r="F128" s="39"/>
      <c r="G128" s="30">
        <v>3.0</v>
      </c>
      <c r="H128" s="39"/>
      <c r="I128" s="34" t="s">
        <v>18</v>
      </c>
    </row>
    <row r="129">
      <c r="A129" s="30">
        <v>90.0</v>
      </c>
      <c r="B129" s="12" t="s">
        <v>361</v>
      </c>
      <c r="C129" s="32" t="s">
        <v>362</v>
      </c>
      <c r="D129" s="37" t="s">
        <v>363</v>
      </c>
      <c r="E129" s="33" t="s">
        <v>222</v>
      </c>
      <c r="F129" s="39"/>
      <c r="G129" s="30">
        <v>3.0</v>
      </c>
      <c r="H129" s="39"/>
      <c r="I129" s="34" t="s">
        <v>18</v>
      </c>
    </row>
    <row r="130">
      <c r="A130" s="29" t="s">
        <v>364</v>
      </c>
      <c r="B130" s="22"/>
      <c r="C130" s="22"/>
      <c r="D130" s="22"/>
      <c r="E130" s="22"/>
      <c r="F130" s="22"/>
      <c r="G130" s="22"/>
      <c r="H130" s="22"/>
      <c r="I130" s="23"/>
    </row>
    <row r="131">
      <c r="A131" s="30">
        <v>91.0</v>
      </c>
      <c r="B131" s="12" t="s">
        <v>365</v>
      </c>
      <c r="C131" s="32" t="s">
        <v>366</v>
      </c>
      <c r="D131" s="37" t="s">
        <v>335</v>
      </c>
      <c r="E131" s="31" t="s">
        <v>340</v>
      </c>
      <c r="F131" s="39"/>
      <c r="G131" s="30">
        <v>3.0</v>
      </c>
      <c r="H131" s="39"/>
      <c r="I131" s="34" t="s">
        <v>18</v>
      </c>
    </row>
    <row r="132">
      <c r="A132" s="30">
        <v>92.0</v>
      </c>
      <c r="B132" s="12" t="s">
        <v>367</v>
      </c>
      <c r="C132" s="32" t="s">
        <v>368</v>
      </c>
      <c r="D132" s="37" t="s">
        <v>369</v>
      </c>
      <c r="E132" s="31" t="s">
        <v>344</v>
      </c>
      <c r="F132" s="39"/>
      <c r="G132" s="30">
        <v>3.0</v>
      </c>
      <c r="H132" s="39"/>
      <c r="I132" s="34" t="s">
        <v>18</v>
      </c>
    </row>
    <row r="133">
      <c r="A133" s="30">
        <v>93.0</v>
      </c>
      <c r="B133" s="12" t="s">
        <v>370</v>
      </c>
      <c r="C133" s="32" t="s">
        <v>371</v>
      </c>
      <c r="D133" s="37" t="s">
        <v>372</v>
      </c>
      <c r="E133" s="31" t="s">
        <v>373</v>
      </c>
      <c r="F133" s="39"/>
      <c r="G133" s="30">
        <v>3.0</v>
      </c>
      <c r="H133" s="39"/>
      <c r="I133" s="34" t="s">
        <v>18</v>
      </c>
    </row>
    <row r="134">
      <c r="A134" s="30">
        <v>94.0</v>
      </c>
      <c r="B134" s="12" t="s">
        <v>374</v>
      </c>
      <c r="C134" s="32" t="s">
        <v>375</v>
      </c>
      <c r="D134" s="37" t="s">
        <v>376</v>
      </c>
      <c r="E134" s="33" t="s">
        <v>76</v>
      </c>
      <c r="F134" s="39"/>
      <c r="G134" s="30">
        <v>3.0</v>
      </c>
      <c r="H134" s="39"/>
      <c r="I134" s="34" t="s">
        <v>18</v>
      </c>
    </row>
    <row r="135">
      <c r="A135" s="29" t="s">
        <v>377</v>
      </c>
      <c r="B135" s="22"/>
      <c r="C135" s="22"/>
      <c r="D135" s="22"/>
      <c r="E135" s="22"/>
      <c r="F135" s="22"/>
      <c r="G135" s="22"/>
      <c r="H135" s="22"/>
      <c r="I135" s="23"/>
    </row>
    <row r="136">
      <c r="A136" s="30">
        <v>95.0</v>
      </c>
      <c r="B136" s="12" t="s">
        <v>378</v>
      </c>
      <c r="C136" s="32" t="s">
        <v>379</v>
      </c>
      <c r="D136" s="37" t="s">
        <v>335</v>
      </c>
      <c r="E136" s="31" t="s">
        <v>340</v>
      </c>
      <c r="F136" s="39"/>
      <c r="G136" s="30">
        <v>3.0</v>
      </c>
      <c r="H136" s="39"/>
      <c r="I136" s="34" t="s">
        <v>18</v>
      </c>
    </row>
    <row r="137">
      <c r="A137" s="30">
        <v>96.0</v>
      </c>
      <c r="B137" s="12" t="s">
        <v>380</v>
      </c>
      <c r="C137" s="32" t="s">
        <v>381</v>
      </c>
      <c r="D137" s="37" t="s">
        <v>382</v>
      </c>
      <c r="E137" s="31" t="s">
        <v>344</v>
      </c>
      <c r="F137" s="39"/>
      <c r="G137" s="30">
        <v>3.0</v>
      </c>
      <c r="H137" s="39"/>
      <c r="I137" s="34" t="s">
        <v>18</v>
      </c>
    </row>
    <row r="138">
      <c r="A138" s="30">
        <v>97.0</v>
      </c>
      <c r="B138" s="12" t="s">
        <v>383</v>
      </c>
      <c r="C138" s="32" t="s">
        <v>384</v>
      </c>
      <c r="D138" s="37" t="s">
        <v>385</v>
      </c>
      <c r="E138" s="31" t="s">
        <v>386</v>
      </c>
      <c r="F138" s="39"/>
      <c r="G138" s="30">
        <v>3.0</v>
      </c>
      <c r="H138" s="39"/>
      <c r="I138" s="34" t="s">
        <v>18</v>
      </c>
    </row>
    <row r="139">
      <c r="A139" s="30">
        <v>98.0</v>
      </c>
      <c r="B139" s="12" t="s">
        <v>387</v>
      </c>
      <c r="C139" s="32" t="s">
        <v>388</v>
      </c>
      <c r="D139" s="37" t="s">
        <v>389</v>
      </c>
      <c r="E139" s="33" t="s">
        <v>76</v>
      </c>
      <c r="F139" s="39"/>
      <c r="G139" s="30">
        <v>3.0</v>
      </c>
      <c r="H139" s="39"/>
      <c r="I139" s="34" t="s">
        <v>18</v>
      </c>
    </row>
    <row r="140">
      <c r="A140" s="29" t="s">
        <v>390</v>
      </c>
      <c r="B140" s="22"/>
      <c r="C140" s="22"/>
      <c r="D140" s="22"/>
      <c r="E140" s="22"/>
      <c r="F140" s="22"/>
      <c r="G140" s="22"/>
      <c r="H140" s="22"/>
      <c r="I140" s="23"/>
    </row>
    <row r="141">
      <c r="A141" s="30">
        <v>99.0</v>
      </c>
      <c r="B141" s="12" t="s">
        <v>391</v>
      </c>
      <c r="C141" s="32" t="s">
        <v>392</v>
      </c>
      <c r="D141" s="37" t="s">
        <v>335</v>
      </c>
      <c r="E141" s="31" t="s">
        <v>340</v>
      </c>
      <c r="F141" s="39"/>
      <c r="G141" s="30">
        <v>3.0</v>
      </c>
      <c r="H141" s="39"/>
      <c r="I141" s="34" t="s">
        <v>18</v>
      </c>
    </row>
    <row r="142">
      <c r="A142" s="30">
        <v>100.0</v>
      </c>
      <c r="B142" s="12" t="s">
        <v>393</v>
      </c>
      <c r="C142" s="32" t="s">
        <v>394</v>
      </c>
      <c r="D142" s="37" t="s">
        <v>395</v>
      </c>
      <c r="E142" s="31" t="s">
        <v>344</v>
      </c>
      <c r="F142" s="39"/>
      <c r="G142" s="30">
        <v>3.0</v>
      </c>
      <c r="H142" s="39"/>
      <c r="I142" s="34" t="s">
        <v>18</v>
      </c>
    </row>
    <row r="143">
      <c r="A143" s="30">
        <v>101.0</v>
      </c>
      <c r="B143" s="12" t="s">
        <v>396</v>
      </c>
      <c r="C143" s="32" t="s">
        <v>397</v>
      </c>
      <c r="D143" s="37" t="s">
        <v>398</v>
      </c>
      <c r="E143" s="31" t="s">
        <v>399</v>
      </c>
      <c r="F143" s="39"/>
      <c r="G143" s="30">
        <v>3.0</v>
      </c>
      <c r="H143" s="39"/>
      <c r="I143" s="34" t="s">
        <v>18</v>
      </c>
    </row>
    <row r="144">
      <c r="A144" s="30">
        <v>102.0</v>
      </c>
      <c r="B144" s="12" t="s">
        <v>400</v>
      </c>
      <c r="C144" s="32" t="s">
        <v>401</v>
      </c>
      <c r="D144" s="37" t="s">
        <v>402</v>
      </c>
      <c r="E144" s="33" t="s">
        <v>222</v>
      </c>
      <c r="F144" s="39"/>
      <c r="G144" s="30">
        <v>3.0</v>
      </c>
      <c r="H144" s="39"/>
      <c r="I144" s="34" t="s">
        <v>18</v>
      </c>
    </row>
    <row r="145">
      <c r="A145" s="29" t="s">
        <v>403</v>
      </c>
      <c r="B145" s="22"/>
      <c r="C145" s="22"/>
      <c r="D145" s="22"/>
      <c r="E145" s="22"/>
      <c r="F145" s="22"/>
      <c r="G145" s="22"/>
      <c r="H145" s="22"/>
      <c r="I145" s="23"/>
    </row>
    <row r="146">
      <c r="A146" s="30">
        <v>103.0</v>
      </c>
      <c r="B146" s="12" t="s">
        <v>404</v>
      </c>
      <c r="C146" s="32" t="s">
        <v>405</v>
      </c>
      <c r="D146" s="37" t="s">
        <v>335</v>
      </c>
      <c r="E146" s="31" t="s">
        <v>340</v>
      </c>
      <c r="F146" s="39"/>
      <c r="G146" s="30">
        <v>3.0</v>
      </c>
      <c r="H146" s="39"/>
      <c r="I146" s="34" t="s">
        <v>18</v>
      </c>
    </row>
    <row r="147">
      <c r="A147" s="30">
        <v>104.0</v>
      </c>
      <c r="B147" s="12" t="s">
        <v>406</v>
      </c>
      <c r="C147" s="32" t="s">
        <v>407</v>
      </c>
      <c r="D147" s="37" t="s">
        <v>408</v>
      </c>
      <c r="E147" s="31" t="s">
        <v>344</v>
      </c>
      <c r="F147" s="39"/>
      <c r="G147" s="30">
        <v>3.0</v>
      </c>
      <c r="H147" s="39"/>
      <c r="I147" s="34" t="s">
        <v>18</v>
      </c>
    </row>
    <row r="148">
      <c r="A148" s="30">
        <v>105.0</v>
      </c>
      <c r="B148" s="12" t="s">
        <v>409</v>
      </c>
      <c r="C148" s="32" t="s">
        <v>410</v>
      </c>
      <c r="D148" s="37" t="s">
        <v>411</v>
      </c>
      <c r="E148" s="31" t="s">
        <v>412</v>
      </c>
      <c r="F148" s="39"/>
      <c r="G148" s="30">
        <v>3.0</v>
      </c>
      <c r="H148" s="39"/>
      <c r="I148" s="34" t="s">
        <v>18</v>
      </c>
    </row>
    <row r="149">
      <c r="A149" s="30">
        <v>106.0</v>
      </c>
      <c r="B149" s="12" t="s">
        <v>413</v>
      </c>
      <c r="C149" s="32" t="s">
        <v>414</v>
      </c>
      <c r="D149" s="37" t="s">
        <v>415</v>
      </c>
      <c r="E149" s="33" t="s">
        <v>76</v>
      </c>
      <c r="F149" s="39"/>
      <c r="G149" s="30">
        <v>3.0</v>
      </c>
      <c r="H149" s="39"/>
      <c r="I149" s="34" t="s">
        <v>18</v>
      </c>
    </row>
    <row r="150">
      <c r="A150" s="29" t="s">
        <v>416</v>
      </c>
      <c r="B150" s="22"/>
      <c r="C150" s="22"/>
      <c r="D150" s="22"/>
      <c r="E150" s="22"/>
      <c r="F150" s="22"/>
      <c r="G150" s="22"/>
      <c r="H150" s="22"/>
      <c r="I150" s="23"/>
    </row>
    <row r="151">
      <c r="A151" s="30">
        <v>107.0</v>
      </c>
      <c r="B151" s="12" t="s">
        <v>417</v>
      </c>
      <c r="C151" s="32" t="s">
        <v>418</v>
      </c>
      <c r="D151" s="37" t="s">
        <v>335</v>
      </c>
      <c r="E151" s="31" t="s">
        <v>340</v>
      </c>
      <c r="F151" s="39"/>
      <c r="G151" s="30">
        <v>3.0</v>
      </c>
      <c r="H151" s="39"/>
      <c r="I151" s="34" t="s">
        <v>18</v>
      </c>
    </row>
    <row r="152">
      <c r="A152" s="30">
        <v>108.0</v>
      </c>
      <c r="B152" s="12" t="s">
        <v>419</v>
      </c>
      <c r="C152" s="32" t="s">
        <v>420</v>
      </c>
      <c r="D152" s="37" t="s">
        <v>421</v>
      </c>
      <c r="E152" s="31" t="s">
        <v>344</v>
      </c>
      <c r="F152" s="39"/>
      <c r="G152" s="30">
        <v>3.0</v>
      </c>
      <c r="H152" s="39"/>
      <c r="I152" s="34" t="s">
        <v>18</v>
      </c>
    </row>
    <row r="153">
      <c r="A153" s="30">
        <v>109.0</v>
      </c>
      <c r="B153" s="12" t="s">
        <v>422</v>
      </c>
      <c r="C153" s="32" t="s">
        <v>423</v>
      </c>
      <c r="D153" s="37" t="s">
        <v>424</v>
      </c>
      <c r="E153" s="31" t="s">
        <v>425</v>
      </c>
      <c r="F153" s="39"/>
      <c r="G153" s="30">
        <v>3.0</v>
      </c>
      <c r="H153" s="39"/>
      <c r="I153" s="34" t="s">
        <v>18</v>
      </c>
    </row>
    <row r="154">
      <c r="A154" s="30">
        <v>110.0</v>
      </c>
      <c r="B154" s="12" t="s">
        <v>426</v>
      </c>
      <c r="C154" s="32" t="s">
        <v>427</v>
      </c>
      <c r="D154" s="37" t="s">
        <v>428</v>
      </c>
      <c r="E154" s="33" t="s">
        <v>76</v>
      </c>
      <c r="F154" s="39"/>
      <c r="G154" s="30">
        <v>3.0</v>
      </c>
      <c r="H154" s="39"/>
      <c r="I154" s="34" t="s">
        <v>18</v>
      </c>
    </row>
    <row r="155">
      <c r="A155" s="29" t="s">
        <v>429</v>
      </c>
      <c r="B155" s="22"/>
      <c r="C155" s="22"/>
      <c r="D155" s="22"/>
      <c r="E155" s="22"/>
      <c r="F155" s="22"/>
      <c r="G155" s="22"/>
      <c r="H155" s="22"/>
      <c r="I155" s="23"/>
    </row>
    <row r="156">
      <c r="A156" s="30">
        <v>111.0</v>
      </c>
      <c r="B156" s="12" t="s">
        <v>417</v>
      </c>
      <c r="C156" s="32" t="s">
        <v>430</v>
      </c>
      <c r="D156" s="37" t="s">
        <v>335</v>
      </c>
      <c r="E156" s="31" t="s">
        <v>340</v>
      </c>
      <c r="F156" s="39"/>
      <c r="G156" s="30">
        <v>3.0</v>
      </c>
      <c r="H156" s="39"/>
      <c r="I156" s="34" t="s">
        <v>18</v>
      </c>
    </row>
    <row r="157">
      <c r="A157" s="30">
        <v>112.0</v>
      </c>
      <c r="B157" s="12" t="s">
        <v>431</v>
      </c>
      <c r="C157" s="32" t="s">
        <v>432</v>
      </c>
      <c r="D157" s="37" t="s">
        <v>433</v>
      </c>
      <c r="E157" s="31" t="s">
        <v>344</v>
      </c>
      <c r="F157" s="39"/>
      <c r="G157" s="30">
        <v>3.0</v>
      </c>
      <c r="H157" s="39"/>
      <c r="I157" s="34" t="s">
        <v>18</v>
      </c>
    </row>
    <row r="158">
      <c r="A158" s="30">
        <v>113.0</v>
      </c>
      <c r="B158" s="12" t="s">
        <v>434</v>
      </c>
      <c r="C158" s="32" t="s">
        <v>435</v>
      </c>
      <c r="D158" s="37" t="s">
        <v>436</v>
      </c>
      <c r="E158" s="31" t="s">
        <v>109</v>
      </c>
      <c r="F158" s="39"/>
      <c r="G158" s="30">
        <v>3.0</v>
      </c>
      <c r="H158" s="39"/>
      <c r="I158" s="34" t="s">
        <v>18</v>
      </c>
    </row>
    <row r="159">
      <c r="A159" s="30">
        <v>114.0</v>
      </c>
      <c r="B159" s="12" t="s">
        <v>437</v>
      </c>
      <c r="C159" s="32" t="s">
        <v>438</v>
      </c>
      <c r="D159" s="37" t="s">
        <v>439</v>
      </c>
      <c r="E159" s="33" t="s">
        <v>76</v>
      </c>
      <c r="F159" s="39"/>
      <c r="G159" s="30">
        <v>3.0</v>
      </c>
      <c r="H159" s="39"/>
      <c r="I159" s="34" t="s">
        <v>18</v>
      </c>
    </row>
    <row r="160">
      <c r="A160" s="29" t="s">
        <v>440</v>
      </c>
      <c r="B160" s="22"/>
      <c r="C160" s="22"/>
      <c r="D160" s="22"/>
      <c r="E160" s="22"/>
      <c r="F160" s="22"/>
      <c r="G160" s="22"/>
      <c r="H160" s="22"/>
      <c r="I160" s="23"/>
    </row>
    <row r="161">
      <c r="A161" s="30">
        <v>115.0</v>
      </c>
      <c r="B161" s="12" t="s">
        <v>441</v>
      </c>
      <c r="C161" s="32" t="s">
        <v>442</v>
      </c>
      <c r="D161" s="37" t="s">
        <v>335</v>
      </c>
      <c r="E161" s="31" t="s">
        <v>340</v>
      </c>
      <c r="F161" s="39"/>
      <c r="G161" s="30">
        <v>3.0</v>
      </c>
      <c r="H161" s="39"/>
      <c r="I161" s="34" t="s">
        <v>18</v>
      </c>
    </row>
    <row r="162">
      <c r="A162" s="30">
        <v>116.0</v>
      </c>
      <c r="B162" s="12" t="s">
        <v>443</v>
      </c>
      <c r="C162" s="32" t="s">
        <v>444</v>
      </c>
      <c r="D162" s="37" t="s">
        <v>445</v>
      </c>
      <c r="E162" s="31" t="s">
        <v>344</v>
      </c>
      <c r="F162" s="39"/>
      <c r="G162" s="30">
        <v>3.0</v>
      </c>
      <c r="H162" s="39"/>
      <c r="I162" s="34" t="s">
        <v>18</v>
      </c>
    </row>
    <row r="163">
      <c r="A163" s="30">
        <v>117.0</v>
      </c>
      <c r="B163" s="12" t="s">
        <v>446</v>
      </c>
      <c r="C163" s="32" t="s">
        <v>447</v>
      </c>
      <c r="D163" s="37" t="s">
        <v>448</v>
      </c>
      <c r="E163" s="31" t="s">
        <v>109</v>
      </c>
      <c r="F163" s="39"/>
      <c r="G163" s="30">
        <v>3.0</v>
      </c>
      <c r="H163" s="39"/>
      <c r="I163" s="34" t="s">
        <v>18</v>
      </c>
    </row>
    <row r="164">
      <c r="A164" s="30">
        <v>118.0</v>
      </c>
      <c r="B164" s="12" t="s">
        <v>449</v>
      </c>
      <c r="C164" s="32" t="s">
        <v>450</v>
      </c>
      <c r="D164" s="37" t="s">
        <v>451</v>
      </c>
      <c r="E164" s="33" t="s">
        <v>76</v>
      </c>
      <c r="F164" s="39"/>
      <c r="G164" s="30">
        <v>3.0</v>
      </c>
      <c r="H164" s="39"/>
      <c r="I164" s="34" t="s">
        <v>18</v>
      </c>
    </row>
    <row r="165">
      <c r="A165" s="29" t="s">
        <v>452</v>
      </c>
      <c r="B165" s="22"/>
      <c r="C165" s="22"/>
      <c r="D165" s="22"/>
      <c r="E165" s="22"/>
      <c r="F165" s="22"/>
      <c r="G165" s="22"/>
      <c r="H165" s="22"/>
      <c r="I165" s="23"/>
    </row>
    <row r="166">
      <c r="A166" s="30">
        <v>119.0</v>
      </c>
      <c r="B166" s="12" t="s">
        <v>453</v>
      </c>
      <c r="C166" s="32" t="s">
        <v>454</v>
      </c>
      <c r="D166" s="37" t="s">
        <v>335</v>
      </c>
      <c r="E166" s="31" t="s">
        <v>340</v>
      </c>
      <c r="F166" s="39"/>
      <c r="G166" s="30">
        <v>3.0</v>
      </c>
      <c r="H166" s="39"/>
      <c r="I166" s="34" t="s">
        <v>18</v>
      </c>
    </row>
    <row r="167">
      <c r="A167" s="30">
        <v>120.0</v>
      </c>
      <c r="B167" s="12" t="s">
        <v>455</v>
      </c>
      <c r="C167" s="32" t="s">
        <v>456</v>
      </c>
      <c r="D167" s="37" t="s">
        <v>457</v>
      </c>
      <c r="E167" s="31" t="s">
        <v>344</v>
      </c>
      <c r="F167" s="39"/>
      <c r="G167" s="30">
        <v>3.0</v>
      </c>
      <c r="H167" s="39"/>
      <c r="I167" s="34" t="s">
        <v>18</v>
      </c>
    </row>
    <row r="168">
      <c r="A168" s="30">
        <v>121.0</v>
      </c>
      <c r="B168" s="12" t="s">
        <v>458</v>
      </c>
      <c r="C168" s="32" t="s">
        <v>459</v>
      </c>
      <c r="D168" s="37" t="s">
        <v>460</v>
      </c>
      <c r="E168" s="31" t="s">
        <v>109</v>
      </c>
      <c r="F168" s="39"/>
      <c r="G168" s="30">
        <v>3.0</v>
      </c>
      <c r="H168" s="39"/>
      <c r="I168" s="34" t="s">
        <v>18</v>
      </c>
    </row>
    <row r="169">
      <c r="A169" s="30">
        <v>122.0</v>
      </c>
      <c r="B169" s="12" t="s">
        <v>461</v>
      </c>
      <c r="C169" s="32" t="s">
        <v>462</v>
      </c>
      <c r="D169" s="37" t="s">
        <v>463</v>
      </c>
      <c r="E169" s="33" t="s">
        <v>76</v>
      </c>
      <c r="F169" s="39"/>
      <c r="G169" s="30">
        <v>3.0</v>
      </c>
      <c r="H169" s="39"/>
      <c r="I169" s="34" t="s">
        <v>18</v>
      </c>
    </row>
    <row r="170">
      <c r="A170" s="29" t="s">
        <v>149</v>
      </c>
      <c r="B170" s="22"/>
      <c r="C170" s="22"/>
      <c r="D170" s="22"/>
      <c r="E170" s="22"/>
      <c r="F170" s="22"/>
      <c r="G170" s="22"/>
      <c r="H170" s="22"/>
      <c r="I170" s="23"/>
    </row>
    <row r="171">
      <c r="A171" s="30">
        <v>123.0</v>
      </c>
      <c r="B171" s="12" t="s">
        <v>150</v>
      </c>
      <c r="C171" s="32" t="s">
        <v>464</v>
      </c>
      <c r="D171" s="37" t="s">
        <v>335</v>
      </c>
      <c r="E171" s="31" t="s">
        <v>465</v>
      </c>
      <c r="F171" s="43" t="str">
        <f>HYPERLINK("https://firsakovae.youtrack.cloud/issue/TP-14", "BUG-14")</f>
        <v>BUG-14</v>
      </c>
      <c r="G171" s="30">
        <v>3.0</v>
      </c>
      <c r="H171" s="30"/>
      <c r="I171" s="34" t="s">
        <v>23</v>
      </c>
    </row>
    <row r="172">
      <c r="A172" s="30">
        <v>124.0</v>
      </c>
      <c r="B172" s="12" t="s">
        <v>153</v>
      </c>
      <c r="C172" s="32" t="s">
        <v>466</v>
      </c>
      <c r="D172" s="37" t="s">
        <v>467</v>
      </c>
      <c r="E172" s="31" t="s">
        <v>156</v>
      </c>
      <c r="F172" s="30"/>
      <c r="G172" s="30">
        <v>3.0</v>
      </c>
      <c r="H172" s="30"/>
      <c r="I172" s="34" t="s">
        <v>18</v>
      </c>
    </row>
    <row r="173">
      <c r="A173" s="30">
        <v>125.0</v>
      </c>
      <c r="B173" s="12" t="s">
        <v>157</v>
      </c>
      <c r="C173" s="32" t="s">
        <v>468</v>
      </c>
      <c r="D173" s="37" t="s">
        <v>469</v>
      </c>
      <c r="E173" s="31" t="s">
        <v>160</v>
      </c>
      <c r="F173" s="30"/>
      <c r="G173" s="30">
        <v>3.0</v>
      </c>
      <c r="H173" s="30"/>
      <c r="I173" s="34" t="s">
        <v>18</v>
      </c>
    </row>
    <row r="174">
      <c r="A174" s="30">
        <v>126.0</v>
      </c>
      <c r="B174" s="12" t="s">
        <v>161</v>
      </c>
      <c r="C174" s="32" t="s">
        <v>470</v>
      </c>
      <c r="D174" s="37" t="s">
        <v>471</v>
      </c>
      <c r="E174" s="33" t="s">
        <v>76</v>
      </c>
      <c r="F174" s="30"/>
      <c r="G174" s="30">
        <v>3.0</v>
      </c>
      <c r="H174" s="30"/>
      <c r="I174" s="34" t="s">
        <v>18</v>
      </c>
    </row>
    <row r="175">
      <c r="A175" s="29" t="s">
        <v>472</v>
      </c>
      <c r="B175" s="22"/>
      <c r="C175" s="22"/>
      <c r="D175" s="22"/>
      <c r="E175" s="22"/>
      <c r="F175" s="22"/>
      <c r="G175" s="22"/>
      <c r="H175" s="22"/>
      <c r="I175" s="23"/>
    </row>
    <row r="176">
      <c r="A176" s="30">
        <v>127.0</v>
      </c>
      <c r="B176" s="37" t="s">
        <v>166</v>
      </c>
      <c r="C176" s="32" t="s">
        <v>473</v>
      </c>
      <c r="D176" s="37" t="s">
        <v>474</v>
      </c>
      <c r="E176" s="31" t="s">
        <v>475</v>
      </c>
      <c r="F176" s="39"/>
      <c r="G176" s="30">
        <v>3.0</v>
      </c>
      <c r="H176" s="39"/>
      <c r="I176" s="34" t="s">
        <v>18</v>
      </c>
    </row>
    <row r="177">
      <c r="A177" s="29" t="s">
        <v>476</v>
      </c>
      <c r="B177" s="22"/>
      <c r="C177" s="22"/>
      <c r="D177" s="22"/>
      <c r="E177" s="22"/>
      <c r="F177" s="22"/>
      <c r="G177" s="22"/>
      <c r="H177" s="22"/>
      <c r="I177" s="23"/>
    </row>
    <row r="178">
      <c r="A178" s="30">
        <v>128.0</v>
      </c>
      <c r="B178" s="37" t="s">
        <v>166</v>
      </c>
      <c r="C178" s="32" t="s">
        <v>477</v>
      </c>
      <c r="D178" s="37" t="s">
        <v>474</v>
      </c>
      <c r="E178" s="31" t="s">
        <v>478</v>
      </c>
      <c r="F178" s="30"/>
      <c r="G178" s="30">
        <v>3.0</v>
      </c>
      <c r="H178" s="30"/>
      <c r="I178" s="34" t="s">
        <v>18</v>
      </c>
    </row>
    <row r="179">
      <c r="A179" s="29" t="s">
        <v>479</v>
      </c>
      <c r="B179" s="22"/>
      <c r="C179" s="22"/>
      <c r="D179" s="22"/>
      <c r="E179" s="22"/>
      <c r="F179" s="22"/>
      <c r="G179" s="22"/>
      <c r="H179" s="22"/>
      <c r="I179" s="23"/>
    </row>
    <row r="180">
      <c r="A180" s="30">
        <v>129.0</v>
      </c>
      <c r="B180" s="37" t="s">
        <v>166</v>
      </c>
      <c r="C180" s="32" t="s">
        <v>480</v>
      </c>
      <c r="D180" s="37" t="s">
        <v>474</v>
      </c>
      <c r="E180" s="31" t="s">
        <v>481</v>
      </c>
      <c r="F180" s="39"/>
      <c r="G180" s="30">
        <v>3.0</v>
      </c>
      <c r="H180" s="39"/>
      <c r="I180" s="34" t="s">
        <v>18</v>
      </c>
    </row>
    <row r="181">
      <c r="A181" s="29" t="s">
        <v>482</v>
      </c>
      <c r="B181" s="22"/>
      <c r="C181" s="22"/>
      <c r="D181" s="22"/>
      <c r="E181" s="22"/>
      <c r="F181" s="22"/>
      <c r="G181" s="22"/>
      <c r="H181" s="22"/>
      <c r="I181" s="23"/>
    </row>
    <row r="182">
      <c r="A182" s="30">
        <v>130.0</v>
      </c>
      <c r="B182" s="12" t="s">
        <v>61</v>
      </c>
      <c r="C182" s="32" t="s">
        <v>483</v>
      </c>
      <c r="D182" s="37" t="s">
        <v>484</v>
      </c>
      <c r="E182" s="31" t="s">
        <v>485</v>
      </c>
      <c r="F182" s="43" t="str">
        <f>HYPERLINK("https://firsakovae.youtrack.cloud/issue/TP-15", "BUG-15")</f>
        <v>BUG-15</v>
      </c>
      <c r="G182" s="30">
        <v>3.0</v>
      </c>
      <c r="H182" s="39"/>
      <c r="I182" s="34" t="s">
        <v>23</v>
      </c>
    </row>
    <row r="183">
      <c r="A183" s="29" t="s">
        <v>486</v>
      </c>
      <c r="B183" s="22"/>
      <c r="C183" s="22"/>
      <c r="D183" s="22"/>
      <c r="E183" s="22"/>
      <c r="F183" s="22"/>
      <c r="G183" s="22"/>
      <c r="H183" s="22"/>
      <c r="I183" s="23"/>
    </row>
    <row r="184">
      <c r="A184" s="30">
        <v>131.0</v>
      </c>
      <c r="B184" s="12" t="s">
        <v>487</v>
      </c>
      <c r="C184" s="32" t="s">
        <v>488</v>
      </c>
      <c r="D184" s="37" t="s">
        <v>489</v>
      </c>
      <c r="E184" s="31" t="s">
        <v>105</v>
      </c>
      <c r="F184" s="39"/>
      <c r="G184" s="30">
        <v>3.0</v>
      </c>
      <c r="H184" s="39"/>
      <c r="I184" s="34" t="s">
        <v>18</v>
      </c>
    </row>
    <row r="185">
      <c r="A185" s="30">
        <v>132.0</v>
      </c>
      <c r="B185" s="12" t="s">
        <v>490</v>
      </c>
      <c r="C185" s="32" t="s">
        <v>491</v>
      </c>
      <c r="D185" s="37" t="s">
        <v>492</v>
      </c>
      <c r="E185" s="31" t="s">
        <v>493</v>
      </c>
      <c r="F185" s="39"/>
      <c r="G185" s="30">
        <v>3.0</v>
      </c>
      <c r="H185" s="39"/>
      <c r="I185" s="34" t="s">
        <v>18</v>
      </c>
    </row>
    <row r="186">
      <c r="A186" s="30">
        <v>133.0</v>
      </c>
      <c r="B186" s="12" t="s">
        <v>494</v>
      </c>
      <c r="C186" s="32" t="s">
        <v>495</v>
      </c>
      <c r="D186" s="37" t="s">
        <v>496</v>
      </c>
      <c r="E186" s="33" t="s">
        <v>76</v>
      </c>
      <c r="F186" s="39"/>
      <c r="G186" s="30">
        <v>3.0</v>
      </c>
      <c r="H186" s="39"/>
      <c r="I186" s="34" t="s">
        <v>18</v>
      </c>
    </row>
    <row r="187">
      <c r="A187" s="29" t="s">
        <v>497</v>
      </c>
      <c r="B187" s="22"/>
      <c r="C187" s="22"/>
      <c r="D187" s="22"/>
      <c r="E187" s="22"/>
      <c r="F187" s="22"/>
      <c r="G187" s="22"/>
      <c r="H187" s="22"/>
      <c r="I187" s="23"/>
    </row>
    <row r="188">
      <c r="A188" s="30">
        <v>134.0</v>
      </c>
      <c r="B188" s="12" t="s">
        <v>498</v>
      </c>
      <c r="C188" s="32" t="s">
        <v>499</v>
      </c>
      <c r="D188" s="37" t="s">
        <v>500</v>
      </c>
      <c r="E188" s="31" t="s">
        <v>105</v>
      </c>
      <c r="F188" s="39"/>
      <c r="G188" s="30">
        <v>3.0</v>
      </c>
      <c r="H188" s="39"/>
      <c r="I188" s="34" t="s">
        <v>18</v>
      </c>
    </row>
    <row r="189">
      <c r="A189" s="30">
        <v>135.0</v>
      </c>
      <c r="B189" s="12" t="s">
        <v>501</v>
      </c>
      <c r="C189" s="32" t="s">
        <v>502</v>
      </c>
      <c r="D189" s="37" t="s">
        <v>503</v>
      </c>
      <c r="E189" s="31" t="s">
        <v>504</v>
      </c>
      <c r="F189" s="39"/>
      <c r="G189" s="30">
        <v>3.0</v>
      </c>
      <c r="H189" s="39"/>
      <c r="I189" s="34" t="s">
        <v>18</v>
      </c>
    </row>
    <row r="190">
      <c r="A190" s="30">
        <v>136.0</v>
      </c>
      <c r="B190" s="12" t="s">
        <v>505</v>
      </c>
      <c r="C190" s="32" t="s">
        <v>506</v>
      </c>
      <c r="D190" s="37" t="s">
        <v>507</v>
      </c>
      <c r="E190" s="33" t="s">
        <v>222</v>
      </c>
      <c r="F190" s="39"/>
      <c r="G190" s="30">
        <v>3.0</v>
      </c>
      <c r="H190" s="39"/>
      <c r="I190" s="34" t="s">
        <v>18</v>
      </c>
    </row>
    <row r="191">
      <c r="A191" s="29" t="s">
        <v>508</v>
      </c>
      <c r="B191" s="22"/>
      <c r="C191" s="22"/>
      <c r="D191" s="22"/>
      <c r="E191" s="22"/>
      <c r="F191" s="22"/>
      <c r="G191" s="22"/>
      <c r="H191" s="22"/>
      <c r="I191" s="23"/>
    </row>
    <row r="192">
      <c r="A192" s="30">
        <v>137.0</v>
      </c>
      <c r="B192" s="12" t="s">
        <v>509</v>
      </c>
      <c r="C192" s="32" t="s">
        <v>510</v>
      </c>
      <c r="D192" s="37" t="s">
        <v>511</v>
      </c>
      <c r="E192" s="31" t="s">
        <v>105</v>
      </c>
      <c r="F192" s="39"/>
      <c r="G192" s="30">
        <v>3.0</v>
      </c>
      <c r="H192" s="39"/>
      <c r="I192" s="34" t="s">
        <v>18</v>
      </c>
    </row>
    <row r="193">
      <c r="A193" s="30">
        <v>138.0</v>
      </c>
      <c r="B193" s="12" t="s">
        <v>512</v>
      </c>
      <c r="C193" s="32" t="s">
        <v>513</v>
      </c>
      <c r="D193" s="37" t="s">
        <v>514</v>
      </c>
      <c r="E193" s="31" t="s">
        <v>515</v>
      </c>
      <c r="F193" s="39"/>
      <c r="G193" s="30">
        <v>3.0</v>
      </c>
      <c r="H193" s="39"/>
      <c r="I193" s="34" t="s">
        <v>18</v>
      </c>
    </row>
    <row r="194">
      <c r="A194" s="30">
        <v>139.0</v>
      </c>
      <c r="B194" s="12" t="s">
        <v>516</v>
      </c>
      <c r="C194" s="32" t="s">
        <v>517</v>
      </c>
      <c r="D194" s="37" t="s">
        <v>518</v>
      </c>
      <c r="E194" s="33" t="s">
        <v>222</v>
      </c>
      <c r="F194" s="39"/>
      <c r="G194" s="30">
        <v>3.0</v>
      </c>
      <c r="H194" s="39"/>
      <c r="I194" s="34" t="s">
        <v>18</v>
      </c>
    </row>
    <row r="195">
      <c r="A195" s="29" t="s">
        <v>519</v>
      </c>
      <c r="B195" s="22"/>
      <c r="C195" s="22"/>
      <c r="D195" s="22"/>
      <c r="E195" s="22"/>
      <c r="F195" s="22"/>
      <c r="G195" s="22"/>
      <c r="H195" s="22"/>
      <c r="I195" s="23"/>
    </row>
    <row r="196">
      <c r="A196" s="30">
        <v>140.0</v>
      </c>
      <c r="B196" s="12" t="s">
        <v>520</v>
      </c>
      <c r="C196" s="32" t="s">
        <v>521</v>
      </c>
      <c r="D196" s="37" t="s">
        <v>474</v>
      </c>
      <c r="E196" s="31" t="s">
        <v>39</v>
      </c>
      <c r="F196" s="39"/>
      <c r="G196" s="30">
        <v>3.0</v>
      </c>
      <c r="H196" s="39"/>
      <c r="I196" s="34" t="s">
        <v>18</v>
      </c>
    </row>
    <row r="197">
      <c r="A197" s="30">
        <v>141.0</v>
      </c>
      <c r="B197" s="12" t="s">
        <v>522</v>
      </c>
      <c r="C197" s="32" t="s">
        <v>523</v>
      </c>
      <c r="D197" s="37" t="s">
        <v>524</v>
      </c>
      <c r="E197" s="31" t="s">
        <v>43</v>
      </c>
      <c r="F197" s="39"/>
      <c r="G197" s="30">
        <v>3.0</v>
      </c>
      <c r="H197" s="39"/>
      <c r="I197" s="34" t="s">
        <v>18</v>
      </c>
    </row>
    <row r="198">
      <c r="A198" s="30">
        <v>142.0</v>
      </c>
      <c r="B198" s="12" t="s">
        <v>525</v>
      </c>
      <c r="C198" s="32" t="s">
        <v>526</v>
      </c>
      <c r="D198" s="37" t="s">
        <v>527</v>
      </c>
      <c r="E198" s="31" t="s">
        <v>47</v>
      </c>
      <c r="F198" s="39"/>
      <c r="G198" s="30">
        <v>3.0</v>
      </c>
      <c r="H198" s="39"/>
      <c r="I198" s="34" t="s">
        <v>18</v>
      </c>
    </row>
    <row r="199">
      <c r="A199" s="30">
        <v>143.0</v>
      </c>
      <c r="B199" s="12" t="s">
        <v>528</v>
      </c>
      <c r="C199" s="32" t="s">
        <v>529</v>
      </c>
      <c r="D199" s="31" t="s">
        <v>530</v>
      </c>
      <c r="E199" s="31" t="s">
        <v>51</v>
      </c>
      <c r="F199" s="39"/>
      <c r="G199" s="30">
        <v>3.0</v>
      </c>
      <c r="H199" s="39"/>
      <c r="I199" s="34" t="s">
        <v>18</v>
      </c>
    </row>
    <row r="200">
      <c r="A200" s="30">
        <v>144.0</v>
      </c>
      <c r="B200" s="31" t="s">
        <v>531</v>
      </c>
      <c r="C200" s="32" t="s">
        <v>532</v>
      </c>
      <c r="D200" s="31" t="s">
        <v>533</v>
      </c>
      <c r="E200" s="33" t="s">
        <v>534</v>
      </c>
      <c r="F200" s="39"/>
      <c r="G200" s="30">
        <v>3.0</v>
      </c>
      <c r="H200" s="39"/>
      <c r="I200" s="34" t="s">
        <v>18</v>
      </c>
    </row>
    <row r="201">
      <c r="A201" s="29" t="s">
        <v>535</v>
      </c>
      <c r="B201" s="22"/>
      <c r="C201" s="22"/>
      <c r="D201" s="22"/>
      <c r="E201" s="22"/>
      <c r="F201" s="22"/>
      <c r="G201" s="22"/>
      <c r="H201" s="22"/>
      <c r="I201" s="23"/>
    </row>
    <row r="202">
      <c r="A202" s="30">
        <v>145.0</v>
      </c>
      <c r="B202" s="12" t="s">
        <v>536</v>
      </c>
      <c r="C202" s="32" t="s">
        <v>537</v>
      </c>
      <c r="D202" s="37" t="s">
        <v>474</v>
      </c>
      <c r="E202" s="31" t="s">
        <v>39</v>
      </c>
      <c r="F202" s="39"/>
      <c r="G202" s="30">
        <v>3.0</v>
      </c>
      <c r="H202" s="39"/>
      <c r="I202" s="34" t="s">
        <v>18</v>
      </c>
    </row>
    <row r="203">
      <c r="A203" s="30">
        <v>146.0</v>
      </c>
      <c r="B203" s="12" t="s">
        <v>538</v>
      </c>
      <c r="C203" s="32" t="s">
        <v>539</v>
      </c>
      <c r="D203" s="37" t="s">
        <v>540</v>
      </c>
      <c r="E203" s="31" t="s">
        <v>43</v>
      </c>
      <c r="F203" s="39"/>
      <c r="G203" s="30">
        <v>3.0</v>
      </c>
      <c r="H203" s="39"/>
      <c r="I203" s="34" t="s">
        <v>18</v>
      </c>
    </row>
    <row r="204">
      <c r="A204" s="30">
        <v>147.0</v>
      </c>
      <c r="B204" s="12" t="s">
        <v>541</v>
      </c>
      <c r="C204" s="32" t="s">
        <v>542</v>
      </c>
      <c r="D204" s="37" t="s">
        <v>543</v>
      </c>
      <c r="E204" s="31" t="s">
        <v>47</v>
      </c>
      <c r="F204" s="39"/>
      <c r="G204" s="30">
        <v>3.0</v>
      </c>
      <c r="H204" s="39"/>
      <c r="I204" s="34" t="s">
        <v>18</v>
      </c>
    </row>
    <row r="205">
      <c r="A205" s="30">
        <v>148.0</v>
      </c>
      <c r="B205" s="12" t="s">
        <v>544</v>
      </c>
      <c r="C205" s="32" t="s">
        <v>545</v>
      </c>
      <c r="D205" s="51" t="s">
        <v>546</v>
      </c>
      <c r="E205" s="31" t="s">
        <v>51</v>
      </c>
      <c r="F205" s="39"/>
      <c r="G205" s="30">
        <v>3.0</v>
      </c>
      <c r="H205" s="39"/>
      <c r="I205" s="34" t="s">
        <v>18</v>
      </c>
    </row>
    <row r="206">
      <c r="A206" s="30">
        <v>149.0</v>
      </c>
      <c r="B206" s="31" t="s">
        <v>547</v>
      </c>
      <c r="C206" s="32" t="s">
        <v>548</v>
      </c>
      <c r="D206" s="31" t="s">
        <v>549</v>
      </c>
      <c r="E206" s="33" t="s">
        <v>534</v>
      </c>
      <c r="F206" s="39"/>
      <c r="G206" s="30">
        <v>3.0</v>
      </c>
      <c r="H206" s="39"/>
      <c r="I206" s="34" t="s">
        <v>18</v>
      </c>
    </row>
    <row r="207">
      <c r="A207" s="29" t="s">
        <v>550</v>
      </c>
      <c r="B207" s="22"/>
      <c r="C207" s="22"/>
      <c r="D207" s="22"/>
      <c r="E207" s="22"/>
      <c r="F207" s="22"/>
      <c r="G207" s="22"/>
      <c r="H207" s="22"/>
      <c r="I207" s="23"/>
    </row>
    <row r="208">
      <c r="A208" s="30">
        <v>150.0</v>
      </c>
      <c r="B208" s="12" t="s">
        <v>551</v>
      </c>
      <c r="C208" s="32" t="s">
        <v>552</v>
      </c>
      <c r="D208" s="37" t="s">
        <v>474</v>
      </c>
      <c r="E208" s="31" t="s">
        <v>553</v>
      </c>
      <c r="F208" s="39"/>
      <c r="G208" s="30">
        <v>3.0</v>
      </c>
      <c r="H208" s="39"/>
      <c r="I208" s="34" t="s">
        <v>18</v>
      </c>
    </row>
    <row r="209">
      <c r="A209" s="30">
        <v>151.0</v>
      </c>
      <c r="B209" s="12" t="s">
        <v>554</v>
      </c>
      <c r="C209" s="32" t="s">
        <v>555</v>
      </c>
      <c r="D209" s="37" t="s">
        <v>556</v>
      </c>
      <c r="E209" s="31" t="s">
        <v>43</v>
      </c>
      <c r="F209" s="39"/>
      <c r="G209" s="30">
        <v>3.0</v>
      </c>
      <c r="H209" s="39"/>
      <c r="I209" s="34" t="s">
        <v>18</v>
      </c>
    </row>
    <row r="210">
      <c r="A210" s="30">
        <v>152.0</v>
      </c>
      <c r="B210" s="12" t="s">
        <v>557</v>
      </c>
      <c r="C210" s="32" t="s">
        <v>558</v>
      </c>
      <c r="D210" s="37" t="s">
        <v>559</v>
      </c>
      <c r="E210" s="31" t="s">
        <v>47</v>
      </c>
      <c r="F210" s="39"/>
      <c r="G210" s="30">
        <v>3.0</v>
      </c>
      <c r="H210" s="39"/>
      <c r="I210" s="34" t="s">
        <v>18</v>
      </c>
    </row>
    <row r="211">
      <c r="A211" s="30">
        <v>153.0</v>
      </c>
      <c r="B211" s="12" t="s">
        <v>560</v>
      </c>
      <c r="C211" s="32" t="s">
        <v>561</v>
      </c>
      <c r="D211" s="31" t="s">
        <v>562</v>
      </c>
      <c r="E211" s="31" t="s">
        <v>51</v>
      </c>
      <c r="F211" s="39"/>
      <c r="G211" s="30">
        <v>3.0</v>
      </c>
      <c r="H211" s="39"/>
      <c r="I211" s="34" t="s">
        <v>18</v>
      </c>
    </row>
    <row r="212">
      <c r="A212" s="30">
        <v>154.0</v>
      </c>
      <c r="B212" s="31" t="s">
        <v>563</v>
      </c>
      <c r="C212" s="32" t="s">
        <v>564</v>
      </c>
      <c r="D212" s="31" t="s">
        <v>565</v>
      </c>
      <c r="E212" s="33" t="s">
        <v>534</v>
      </c>
      <c r="F212" s="39"/>
      <c r="G212" s="30">
        <v>3.0</v>
      </c>
      <c r="H212" s="39"/>
      <c r="I212" s="34" t="s">
        <v>18</v>
      </c>
    </row>
    <row r="213">
      <c r="A213" s="29" t="s">
        <v>566</v>
      </c>
      <c r="B213" s="22"/>
      <c r="C213" s="22"/>
      <c r="D213" s="22"/>
      <c r="E213" s="22"/>
      <c r="F213" s="22"/>
      <c r="G213" s="22"/>
      <c r="H213" s="22"/>
      <c r="I213" s="23"/>
    </row>
    <row r="214">
      <c r="A214" s="30">
        <v>155.0</v>
      </c>
      <c r="B214" s="37" t="s">
        <v>166</v>
      </c>
      <c r="C214" s="32" t="s">
        <v>567</v>
      </c>
      <c r="D214" s="37" t="s">
        <v>474</v>
      </c>
      <c r="E214" s="31" t="s">
        <v>568</v>
      </c>
      <c r="F214" s="39"/>
      <c r="G214" s="30">
        <v>3.0</v>
      </c>
      <c r="H214" s="39"/>
      <c r="I214" s="34" t="s">
        <v>18</v>
      </c>
    </row>
    <row r="215">
      <c r="A215" s="29" t="s">
        <v>569</v>
      </c>
      <c r="B215" s="22"/>
      <c r="C215" s="22"/>
      <c r="D215" s="22"/>
      <c r="E215" s="22"/>
      <c r="F215" s="22"/>
      <c r="G215" s="22"/>
      <c r="H215" s="22"/>
      <c r="I215" s="23"/>
    </row>
    <row r="216">
      <c r="A216" s="30">
        <v>156.0</v>
      </c>
      <c r="B216" s="37" t="s">
        <v>309</v>
      </c>
      <c r="C216" s="32" t="s">
        <v>570</v>
      </c>
      <c r="D216" s="37" t="s">
        <v>343</v>
      </c>
      <c r="E216" s="31" t="s">
        <v>312</v>
      </c>
      <c r="F216" s="39"/>
      <c r="G216" s="30">
        <v>3.0</v>
      </c>
      <c r="H216" s="39"/>
      <c r="I216" s="34" t="s">
        <v>18</v>
      </c>
    </row>
    <row r="217">
      <c r="A217" s="30">
        <v>157.0</v>
      </c>
      <c r="B217" s="37" t="s">
        <v>313</v>
      </c>
      <c r="C217" s="32" t="s">
        <v>571</v>
      </c>
      <c r="D217" s="37" t="s">
        <v>347</v>
      </c>
      <c r="E217" s="31" t="s">
        <v>572</v>
      </c>
      <c r="F217" s="39"/>
      <c r="G217" s="30">
        <v>3.0</v>
      </c>
      <c r="H217" s="39"/>
      <c r="I217" s="34" t="s">
        <v>18</v>
      </c>
    </row>
    <row r="218">
      <c r="A218" s="30">
        <v>158.0</v>
      </c>
      <c r="B218" s="31" t="s">
        <v>317</v>
      </c>
      <c r="C218" s="32" t="s">
        <v>573</v>
      </c>
      <c r="D218" s="37" t="s">
        <v>350</v>
      </c>
      <c r="E218" s="33" t="s">
        <v>574</v>
      </c>
      <c r="F218" s="39"/>
      <c r="G218" s="30">
        <v>3.0</v>
      </c>
      <c r="H218" s="39"/>
      <c r="I218" s="34" t="s">
        <v>18</v>
      </c>
    </row>
    <row r="219">
      <c r="B219" s="52"/>
      <c r="C219" s="52"/>
      <c r="D219" s="52"/>
      <c r="E219" s="52"/>
      <c r="I219" s="52"/>
    </row>
    <row r="220">
      <c r="B220" s="52"/>
      <c r="C220" s="52"/>
      <c r="D220" s="52"/>
      <c r="E220" s="52"/>
      <c r="I220" s="52"/>
    </row>
    <row r="221">
      <c r="B221" s="52"/>
      <c r="C221" s="52"/>
      <c r="D221" s="52"/>
      <c r="E221" s="52"/>
      <c r="I221" s="52"/>
    </row>
    <row r="222" ht="15.75" customHeight="1">
      <c r="B222" s="52"/>
      <c r="C222" s="52"/>
      <c r="D222" s="52"/>
      <c r="E222" s="52"/>
      <c r="I222" s="52"/>
    </row>
    <row r="223" ht="15.75" customHeight="1">
      <c r="B223" s="52"/>
      <c r="C223" s="52"/>
      <c r="D223" s="52"/>
      <c r="E223" s="52"/>
      <c r="I223" s="52"/>
    </row>
    <row r="224" ht="15.75" customHeight="1">
      <c r="B224" s="52"/>
      <c r="C224" s="52"/>
      <c r="D224" s="52"/>
      <c r="E224" s="52"/>
      <c r="I224" s="52"/>
    </row>
    <row r="225" ht="15.75" customHeight="1">
      <c r="B225" s="52"/>
      <c r="C225" s="52"/>
      <c r="D225" s="52"/>
      <c r="E225" s="52"/>
      <c r="I225" s="52"/>
    </row>
    <row r="226" ht="15.75" customHeight="1">
      <c r="B226" s="52"/>
      <c r="C226" s="52"/>
      <c r="D226" s="52"/>
      <c r="E226" s="52"/>
      <c r="I226" s="52"/>
    </row>
    <row r="227" ht="15.75" customHeight="1">
      <c r="B227" s="52"/>
      <c r="C227" s="52"/>
      <c r="D227" s="52"/>
      <c r="E227" s="52"/>
      <c r="I227" s="52"/>
    </row>
    <row r="228" ht="15.75" customHeight="1">
      <c r="B228" s="52"/>
      <c r="C228" s="52"/>
      <c r="D228" s="52"/>
      <c r="E228" s="52"/>
      <c r="I228" s="52"/>
    </row>
    <row r="229" ht="15.75" customHeight="1">
      <c r="B229" s="52"/>
      <c r="C229" s="52"/>
      <c r="D229" s="52"/>
      <c r="E229" s="52"/>
      <c r="I229" s="52"/>
    </row>
    <row r="230" ht="15.75" customHeight="1">
      <c r="B230" s="52"/>
      <c r="C230" s="52"/>
      <c r="D230" s="52"/>
      <c r="E230" s="52"/>
      <c r="I230" s="52"/>
    </row>
    <row r="231" ht="15.75" customHeight="1">
      <c r="B231" s="52"/>
      <c r="C231" s="52"/>
      <c r="D231" s="52"/>
      <c r="E231" s="52"/>
      <c r="I231" s="52"/>
    </row>
    <row r="232" ht="15.75" customHeight="1">
      <c r="B232" s="53"/>
      <c r="C232" s="52"/>
      <c r="D232" s="52"/>
      <c r="E232" s="52"/>
      <c r="I232" s="52"/>
    </row>
    <row r="233" ht="15.75" customHeight="1">
      <c r="B233" s="53"/>
      <c r="C233" s="52"/>
      <c r="D233" s="52"/>
      <c r="E233" s="52"/>
      <c r="I233" s="52"/>
    </row>
    <row r="234" ht="15.75" customHeight="1">
      <c r="B234" s="53"/>
      <c r="C234" s="52"/>
      <c r="D234" s="52"/>
      <c r="E234" s="52"/>
      <c r="I234" s="52"/>
    </row>
    <row r="235" ht="15.75" customHeight="1">
      <c r="B235" s="53"/>
      <c r="C235" s="52"/>
      <c r="D235" s="52"/>
      <c r="E235" s="52"/>
      <c r="I235" s="52"/>
    </row>
    <row r="236" ht="15.75" customHeight="1">
      <c r="B236" s="53"/>
      <c r="C236" s="52"/>
      <c r="D236" s="52"/>
      <c r="E236" s="52"/>
      <c r="I236" s="52"/>
    </row>
    <row r="237" ht="15.75" customHeight="1">
      <c r="B237" s="53"/>
      <c r="C237" s="52"/>
      <c r="D237" s="52"/>
      <c r="E237" s="52"/>
      <c r="I237" s="52"/>
    </row>
    <row r="238" ht="15.75" customHeight="1">
      <c r="B238" s="52"/>
      <c r="C238" s="52"/>
      <c r="D238" s="52"/>
      <c r="E238" s="52"/>
      <c r="I238" s="52"/>
    </row>
    <row r="239" ht="15.75" customHeight="1">
      <c r="B239" s="52"/>
      <c r="C239" s="52"/>
      <c r="D239" s="52"/>
      <c r="E239" s="52"/>
      <c r="I239" s="52"/>
    </row>
    <row r="240" ht="15.75" customHeight="1">
      <c r="B240" s="52"/>
      <c r="C240" s="52"/>
      <c r="D240" s="52"/>
      <c r="E240" s="52"/>
      <c r="I240" s="52"/>
    </row>
    <row r="241" ht="15.75" customHeight="1">
      <c r="B241" s="52"/>
      <c r="C241" s="52"/>
      <c r="D241" s="52"/>
      <c r="E241" s="52"/>
      <c r="I241" s="52"/>
    </row>
    <row r="242" ht="15.75" customHeight="1">
      <c r="B242" s="52"/>
      <c r="C242" s="52"/>
      <c r="D242" s="52"/>
      <c r="E242" s="52"/>
      <c r="I242" s="52"/>
    </row>
    <row r="243" ht="15.75" customHeight="1">
      <c r="B243" s="52"/>
      <c r="C243" s="52"/>
      <c r="D243" s="52"/>
      <c r="E243" s="52"/>
      <c r="I243" s="52"/>
    </row>
    <row r="244" ht="15.75" customHeight="1">
      <c r="B244" s="52"/>
      <c r="C244" s="52"/>
      <c r="D244" s="52"/>
      <c r="E244" s="52"/>
      <c r="I244" s="52"/>
    </row>
    <row r="245" ht="15.75" customHeight="1">
      <c r="B245" s="52"/>
      <c r="C245" s="52"/>
      <c r="D245" s="52"/>
      <c r="E245" s="52"/>
      <c r="I245" s="52"/>
    </row>
    <row r="246" ht="15.75" customHeight="1">
      <c r="B246" s="52"/>
      <c r="C246" s="52"/>
      <c r="D246" s="52"/>
      <c r="E246" s="52"/>
      <c r="I246" s="52"/>
    </row>
    <row r="247" ht="15.75" customHeight="1">
      <c r="B247" s="52"/>
      <c r="C247" s="52"/>
      <c r="D247" s="52"/>
      <c r="E247" s="52"/>
      <c r="I247" s="52"/>
    </row>
    <row r="248" ht="15.75" customHeight="1">
      <c r="B248" s="52"/>
      <c r="C248" s="52"/>
      <c r="D248" s="52"/>
      <c r="E248" s="52"/>
      <c r="I248" s="52"/>
    </row>
    <row r="249" ht="15.75" customHeight="1">
      <c r="B249" s="52"/>
      <c r="C249" s="52"/>
      <c r="D249" s="52"/>
      <c r="E249" s="52"/>
      <c r="I249" s="52"/>
    </row>
    <row r="250" ht="15.75" customHeight="1">
      <c r="B250" s="52"/>
      <c r="C250" s="52"/>
      <c r="D250" s="52"/>
      <c r="E250" s="52"/>
      <c r="I250" s="52"/>
    </row>
    <row r="251" ht="15.75" customHeight="1">
      <c r="B251" s="52"/>
      <c r="C251" s="52"/>
      <c r="D251" s="52"/>
      <c r="E251" s="52"/>
      <c r="I251" s="52"/>
    </row>
    <row r="252" ht="15.75" customHeight="1">
      <c r="B252" s="52"/>
      <c r="C252" s="52"/>
      <c r="D252" s="52"/>
      <c r="E252" s="52"/>
      <c r="I252" s="52"/>
    </row>
    <row r="253" ht="15.75" customHeight="1">
      <c r="B253" s="52"/>
      <c r="C253" s="52"/>
      <c r="D253" s="52"/>
      <c r="E253" s="52"/>
      <c r="I253" s="52"/>
    </row>
    <row r="254" ht="15.75" customHeight="1">
      <c r="B254" s="52"/>
      <c r="C254" s="52"/>
      <c r="D254" s="52"/>
      <c r="E254" s="52"/>
      <c r="I254" s="52"/>
    </row>
    <row r="255" ht="15.75" customHeight="1">
      <c r="B255" s="52"/>
      <c r="C255" s="52"/>
      <c r="D255" s="52"/>
      <c r="E255" s="52"/>
      <c r="I255" s="52"/>
    </row>
    <row r="256" ht="15.75" customHeight="1">
      <c r="B256" s="52"/>
      <c r="C256" s="52"/>
      <c r="D256" s="52"/>
      <c r="E256" s="52"/>
      <c r="I256" s="52"/>
    </row>
    <row r="257" ht="15.75" customHeight="1">
      <c r="B257" s="52"/>
      <c r="C257" s="52"/>
      <c r="D257" s="52"/>
      <c r="E257" s="52"/>
      <c r="I257" s="52"/>
    </row>
    <row r="258" ht="15.75" customHeight="1">
      <c r="B258" s="52"/>
      <c r="C258" s="52"/>
      <c r="D258" s="52"/>
      <c r="E258" s="52"/>
      <c r="I258" s="52"/>
    </row>
    <row r="259" ht="15.75" customHeight="1">
      <c r="B259" s="52"/>
      <c r="C259" s="52"/>
      <c r="D259" s="52"/>
      <c r="E259" s="52"/>
      <c r="I259" s="52"/>
    </row>
    <row r="260" ht="15.75" customHeight="1">
      <c r="B260" s="52"/>
      <c r="C260" s="52"/>
      <c r="D260" s="52"/>
      <c r="E260" s="52"/>
      <c r="I260" s="52"/>
    </row>
    <row r="261" ht="15.75" customHeight="1">
      <c r="B261" s="52"/>
      <c r="C261" s="52"/>
      <c r="D261" s="52"/>
      <c r="E261" s="52"/>
      <c r="I261" s="52"/>
    </row>
    <row r="262" ht="15.75" customHeight="1">
      <c r="B262" s="52"/>
      <c r="C262" s="52"/>
      <c r="D262" s="52"/>
      <c r="E262" s="52"/>
      <c r="I262" s="52"/>
    </row>
    <row r="263" ht="15.75" customHeight="1">
      <c r="B263" s="52"/>
      <c r="C263" s="52"/>
      <c r="D263" s="52"/>
      <c r="E263" s="52"/>
      <c r="I263" s="52"/>
    </row>
    <row r="264" ht="15.75" customHeight="1">
      <c r="B264" s="52"/>
      <c r="C264" s="52"/>
      <c r="D264" s="52"/>
      <c r="E264" s="52"/>
      <c r="I264" s="52"/>
    </row>
    <row r="265" ht="15.75" customHeight="1">
      <c r="B265" s="52"/>
      <c r="C265" s="52"/>
      <c r="D265" s="52"/>
      <c r="E265" s="52"/>
      <c r="I265" s="52"/>
    </row>
    <row r="266" ht="15.75" customHeight="1">
      <c r="B266" s="52"/>
      <c r="C266" s="52"/>
      <c r="D266" s="52"/>
      <c r="E266" s="52"/>
      <c r="I266" s="52"/>
    </row>
    <row r="267" ht="15.75" customHeight="1">
      <c r="B267" s="52"/>
      <c r="C267" s="52"/>
      <c r="D267" s="52"/>
      <c r="E267" s="52"/>
      <c r="I267" s="52"/>
    </row>
    <row r="268" ht="15.75" customHeight="1">
      <c r="B268" s="52"/>
      <c r="C268" s="52"/>
      <c r="D268" s="52"/>
      <c r="E268" s="52"/>
      <c r="I268" s="52"/>
    </row>
    <row r="269" ht="15.75" customHeight="1">
      <c r="B269" s="52"/>
      <c r="C269" s="52"/>
      <c r="D269" s="52"/>
      <c r="E269" s="52"/>
      <c r="I269" s="52"/>
    </row>
    <row r="270" ht="15.75" customHeight="1">
      <c r="B270" s="52"/>
      <c r="C270" s="52"/>
      <c r="D270" s="52"/>
      <c r="E270" s="52"/>
      <c r="I270" s="52"/>
    </row>
    <row r="271" ht="15.75" customHeight="1">
      <c r="B271" s="52"/>
      <c r="C271" s="52"/>
      <c r="D271" s="52"/>
      <c r="E271" s="52"/>
      <c r="I271" s="52"/>
    </row>
    <row r="272" ht="15.75" customHeight="1">
      <c r="B272" s="52"/>
      <c r="C272" s="52"/>
      <c r="D272" s="52"/>
      <c r="E272" s="52"/>
      <c r="I272" s="52"/>
    </row>
    <row r="273" ht="15.75" customHeight="1">
      <c r="B273" s="52"/>
      <c r="C273" s="52"/>
      <c r="D273" s="52"/>
      <c r="E273" s="52"/>
      <c r="I273" s="52"/>
    </row>
    <row r="274" ht="15.75" customHeight="1">
      <c r="B274" s="54"/>
      <c r="C274" s="52"/>
      <c r="D274" s="52"/>
      <c r="E274" s="52"/>
      <c r="I274" s="52"/>
    </row>
    <row r="275" ht="15.75" customHeight="1">
      <c r="B275" s="55"/>
      <c r="C275" s="52"/>
      <c r="D275" s="52"/>
      <c r="E275" s="52"/>
      <c r="I275" s="52"/>
    </row>
    <row r="276" ht="15.75" customHeight="1">
      <c r="B276" s="56"/>
      <c r="C276" s="52"/>
      <c r="D276" s="52"/>
      <c r="E276" s="52"/>
      <c r="I276" s="52"/>
    </row>
    <row r="277" ht="15.75" customHeight="1">
      <c r="B277" s="57"/>
      <c r="C277" s="52"/>
      <c r="D277" s="52"/>
      <c r="E277" s="52"/>
      <c r="I277" s="52"/>
    </row>
    <row r="278" ht="15.75" customHeight="1">
      <c r="B278" s="58"/>
      <c r="C278" s="52"/>
      <c r="D278" s="52"/>
      <c r="E278" s="52"/>
      <c r="I278" s="52"/>
    </row>
    <row r="279" ht="15.75" customHeight="1">
      <c r="B279" s="58"/>
      <c r="C279" s="52"/>
      <c r="D279" s="52"/>
      <c r="E279" s="52"/>
      <c r="I279" s="52"/>
    </row>
    <row r="280" ht="15.75" customHeight="1">
      <c r="B280" s="57"/>
      <c r="C280" s="52"/>
      <c r="D280" s="52"/>
      <c r="E280" s="52"/>
      <c r="I280" s="52"/>
    </row>
    <row r="281" ht="15.75" customHeight="1">
      <c r="B281" s="58"/>
      <c r="C281" s="52"/>
      <c r="D281" s="52"/>
      <c r="E281" s="52"/>
      <c r="I281" s="52"/>
    </row>
    <row r="282" ht="15.75" customHeight="1">
      <c r="B282" s="58"/>
      <c r="C282" s="52"/>
      <c r="D282" s="52"/>
      <c r="E282" s="52"/>
      <c r="I282" s="52"/>
    </row>
    <row r="283" ht="15.75" customHeight="1">
      <c r="B283" s="57"/>
      <c r="C283" s="52"/>
      <c r="D283" s="52"/>
      <c r="E283" s="52"/>
      <c r="I283" s="52"/>
    </row>
    <row r="284" ht="15.75" customHeight="1">
      <c r="B284" s="58"/>
      <c r="C284" s="52"/>
      <c r="D284" s="52"/>
      <c r="E284" s="52"/>
      <c r="I284" s="52"/>
    </row>
    <row r="285" ht="15.75" customHeight="1">
      <c r="B285" s="58"/>
      <c r="C285" s="52"/>
      <c r="D285" s="52"/>
      <c r="E285" s="52"/>
      <c r="I285" s="52"/>
    </row>
    <row r="286" ht="15.75" customHeight="1">
      <c r="B286" s="57"/>
      <c r="C286" s="52"/>
      <c r="D286" s="52"/>
      <c r="E286" s="52"/>
      <c r="I286" s="52"/>
    </row>
    <row r="287" ht="15.75" customHeight="1">
      <c r="B287" s="58"/>
      <c r="C287" s="52"/>
      <c r="D287" s="52"/>
      <c r="E287" s="52"/>
      <c r="I287" s="52"/>
    </row>
    <row r="288" ht="15.75" customHeight="1">
      <c r="B288" s="58"/>
      <c r="C288" s="52"/>
      <c r="D288" s="52"/>
      <c r="E288" s="52"/>
      <c r="I288" s="52"/>
    </row>
    <row r="289" ht="15.75" customHeight="1">
      <c r="B289" s="57"/>
      <c r="C289" s="52"/>
      <c r="D289" s="52"/>
      <c r="E289" s="52"/>
      <c r="I289" s="52"/>
    </row>
    <row r="290" ht="15.75" customHeight="1">
      <c r="B290" s="58"/>
      <c r="C290" s="52"/>
      <c r="D290" s="52"/>
      <c r="E290" s="52"/>
      <c r="I290" s="52"/>
    </row>
    <row r="291" ht="15.75" customHeight="1">
      <c r="B291" s="58"/>
      <c r="C291" s="52"/>
      <c r="D291" s="52"/>
      <c r="E291" s="52"/>
      <c r="I291" s="52"/>
    </row>
    <row r="292" ht="15.75" customHeight="1">
      <c r="B292" s="57"/>
      <c r="C292" s="52"/>
      <c r="D292" s="52"/>
      <c r="E292" s="52"/>
      <c r="I292" s="52"/>
    </row>
    <row r="293" ht="15.75" customHeight="1">
      <c r="B293" s="58"/>
      <c r="C293" s="52"/>
      <c r="D293" s="52"/>
      <c r="E293" s="52"/>
      <c r="I293" s="52"/>
    </row>
    <row r="294" ht="15.75" customHeight="1">
      <c r="B294" s="58"/>
      <c r="C294" s="52"/>
      <c r="D294" s="52"/>
      <c r="E294" s="52"/>
      <c r="I294" s="52"/>
    </row>
    <row r="295" ht="15.75" customHeight="1">
      <c r="B295" s="57"/>
      <c r="C295" s="52"/>
      <c r="D295" s="52"/>
      <c r="E295" s="52"/>
      <c r="I295" s="52"/>
    </row>
    <row r="296" ht="15.75" customHeight="1">
      <c r="B296" s="58"/>
      <c r="C296" s="52"/>
      <c r="D296" s="52"/>
      <c r="E296" s="52"/>
      <c r="I296" s="52"/>
    </row>
    <row r="297" ht="15.75" customHeight="1">
      <c r="B297" s="58"/>
      <c r="C297" s="52"/>
      <c r="D297" s="52"/>
      <c r="E297" s="52"/>
      <c r="I297" s="52"/>
    </row>
    <row r="298" ht="15.75" customHeight="1">
      <c r="B298" s="57"/>
      <c r="C298" s="52"/>
      <c r="D298" s="52"/>
      <c r="E298" s="52"/>
      <c r="I298" s="52"/>
    </row>
    <row r="299" ht="15.75" customHeight="1">
      <c r="B299" s="58"/>
      <c r="C299" s="52"/>
      <c r="D299" s="52"/>
      <c r="E299" s="52"/>
      <c r="I299" s="52"/>
    </row>
    <row r="300" ht="15.75" customHeight="1">
      <c r="B300" s="58"/>
      <c r="C300" s="52"/>
      <c r="D300" s="52"/>
      <c r="E300" s="52"/>
      <c r="I300" s="52"/>
    </row>
    <row r="301" ht="15.75" customHeight="1">
      <c r="B301" s="57"/>
      <c r="C301" s="52"/>
      <c r="D301" s="52"/>
      <c r="E301" s="52"/>
      <c r="I301" s="52"/>
    </row>
    <row r="302" ht="15.75" customHeight="1">
      <c r="B302" s="58"/>
      <c r="C302" s="52"/>
      <c r="D302" s="52"/>
      <c r="E302" s="52"/>
      <c r="I302" s="52"/>
    </row>
    <row r="303" ht="15.75" customHeight="1">
      <c r="B303" s="58"/>
      <c r="C303" s="52"/>
      <c r="D303" s="52"/>
      <c r="E303" s="52"/>
      <c r="I303" s="52"/>
    </row>
    <row r="304" ht="15.75" customHeight="1">
      <c r="B304" s="57"/>
      <c r="C304" s="52"/>
      <c r="D304" s="52"/>
      <c r="E304" s="52"/>
      <c r="I304" s="52"/>
    </row>
    <row r="305" ht="15.75" customHeight="1">
      <c r="B305" s="58"/>
      <c r="C305" s="52"/>
      <c r="D305" s="52"/>
      <c r="E305" s="52"/>
      <c r="I305" s="52"/>
    </row>
    <row r="306" ht="15.75" customHeight="1">
      <c r="B306" s="58"/>
      <c r="C306" s="52"/>
      <c r="D306" s="52"/>
      <c r="E306" s="52"/>
      <c r="I306" s="52"/>
    </row>
    <row r="307" ht="15.75" customHeight="1">
      <c r="B307" s="57"/>
      <c r="C307" s="52"/>
      <c r="D307" s="52"/>
      <c r="E307" s="52"/>
      <c r="I307" s="52"/>
    </row>
    <row r="308" ht="15.75" customHeight="1">
      <c r="B308" s="58"/>
      <c r="C308" s="52"/>
      <c r="D308" s="52"/>
      <c r="E308" s="52"/>
      <c r="I308" s="52"/>
    </row>
    <row r="309" ht="15.75" customHeight="1">
      <c r="B309" s="58"/>
      <c r="C309" s="52"/>
      <c r="D309" s="52"/>
      <c r="E309" s="52"/>
      <c r="I309" s="52"/>
    </row>
    <row r="310" ht="15.75" customHeight="1">
      <c r="B310" s="57"/>
      <c r="C310" s="52"/>
      <c r="D310" s="52"/>
      <c r="E310" s="52"/>
      <c r="I310" s="52"/>
    </row>
    <row r="311" ht="15.75" customHeight="1">
      <c r="B311" s="58"/>
      <c r="C311" s="52"/>
      <c r="D311" s="52"/>
      <c r="E311" s="52"/>
      <c r="I311" s="52"/>
    </row>
    <row r="312" ht="15.75" customHeight="1">
      <c r="B312" s="58"/>
      <c r="C312" s="52"/>
      <c r="D312" s="52"/>
      <c r="E312" s="52"/>
      <c r="I312" s="52"/>
    </row>
    <row r="313" ht="15.75" customHeight="1">
      <c r="B313" s="57"/>
    </row>
    <row r="314" ht="15.75" customHeight="1">
      <c r="B314" s="58"/>
    </row>
    <row r="315" ht="15.75" customHeight="1">
      <c r="B315" s="58"/>
    </row>
    <row r="316" ht="15.75" customHeight="1">
      <c r="B316" s="57"/>
    </row>
    <row r="317" ht="15.75" customHeight="1">
      <c r="B317" s="58"/>
    </row>
    <row r="318" ht="15.75" customHeight="1">
      <c r="B318" s="58"/>
    </row>
    <row r="319" ht="15.75" customHeight="1">
      <c r="B319" s="57"/>
    </row>
    <row r="320" ht="15.75" customHeight="1">
      <c r="B320" s="58"/>
    </row>
    <row r="321" ht="15.75" customHeight="1">
      <c r="B321" s="58"/>
    </row>
    <row r="322" ht="15.75" customHeight="1">
      <c r="B322" s="57"/>
    </row>
    <row r="323" ht="15.75" customHeight="1">
      <c r="B323" s="58"/>
    </row>
    <row r="324" ht="15.75" customHeight="1">
      <c r="B324" s="58"/>
    </row>
    <row r="325" ht="15.75" customHeight="1">
      <c r="B325" s="57"/>
    </row>
    <row r="326" ht="15.75" customHeight="1">
      <c r="B326" s="58"/>
    </row>
    <row r="327" ht="15.75" customHeight="1">
      <c r="B327" s="58"/>
    </row>
    <row r="328" ht="15.75" customHeight="1">
      <c r="B328" s="57"/>
    </row>
    <row r="329" ht="15.75" customHeight="1">
      <c r="B329" s="58"/>
    </row>
    <row r="330" ht="15.75" customHeight="1">
      <c r="B330" s="58"/>
    </row>
    <row r="331" ht="15.75" customHeight="1">
      <c r="B331" s="57"/>
    </row>
    <row r="332" ht="15.75" customHeight="1">
      <c r="B332" s="58"/>
    </row>
    <row r="333" ht="15.75" customHeight="1">
      <c r="B333" s="58"/>
    </row>
    <row r="334" ht="15.75" customHeight="1">
      <c r="B334" s="57"/>
    </row>
    <row r="335" ht="15.75" customHeight="1">
      <c r="B335" s="58"/>
    </row>
    <row r="336" ht="15.75" customHeight="1">
      <c r="B336" s="58"/>
    </row>
    <row r="337" ht="15.75" customHeight="1">
      <c r="B337" s="57"/>
    </row>
    <row r="338" ht="15.75" customHeight="1">
      <c r="B338" s="58"/>
    </row>
    <row r="339" ht="15.75" customHeight="1">
      <c r="B339" s="58"/>
    </row>
    <row r="340" ht="15.75" customHeight="1">
      <c r="B340" s="57"/>
    </row>
    <row r="341" ht="15.75" customHeight="1">
      <c r="B341" s="58"/>
    </row>
    <row r="342" ht="15.75" customHeight="1">
      <c r="B342" s="58"/>
    </row>
    <row r="343" ht="15.75" customHeight="1">
      <c r="B343" s="57"/>
    </row>
    <row r="344" ht="15.75" customHeight="1">
      <c r="B344" s="58"/>
    </row>
    <row r="345" ht="15.75" customHeight="1">
      <c r="B345" s="58"/>
    </row>
    <row r="346" ht="15.75" customHeight="1">
      <c r="B346" s="57"/>
    </row>
    <row r="347" ht="15.75" customHeight="1">
      <c r="B347" s="58"/>
    </row>
    <row r="348" ht="15.75" customHeight="1">
      <c r="B348" s="58"/>
    </row>
    <row r="349" ht="15.75" customHeight="1">
      <c r="B349" s="57"/>
    </row>
    <row r="350" ht="15.75" customHeight="1">
      <c r="B350" s="58"/>
    </row>
    <row r="351" ht="15.75" customHeight="1">
      <c r="B351" s="58"/>
    </row>
    <row r="352" ht="15.75" customHeight="1">
      <c r="B352" s="57"/>
    </row>
    <row r="353" ht="15.75" customHeight="1">
      <c r="B353" s="58"/>
    </row>
    <row r="354" ht="15.75" customHeight="1">
      <c r="B354" s="58"/>
    </row>
    <row r="355" ht="15.75" customHeight="1">
      <c r="B355" s="57"/>
    </row>
    <row r="356" ht="15.75" customHeight="1">
      <c r="B356" s="58"/>
    </row>
    <row r="357" ht="15.75" customHeight="1">
      <c r="B357" s="58"/>
    </row>
    <row r="358" ht="15.75" customHeight="1">
      <c r="B358" s="57"/>
    </row>
    <row r="359" ht="15.75" customHeight="1">
      <c r="B359" s="58"/>
    </row>
    <row r="360" ht="15.75" customHeight="1">
      <c r="B360" s="58"/>
    </row>
    <row r="361" ht="15.75" customHeight="1">
      <c r="B361" s="57"/>
    </row>
    <row r="362" ht="15.75" customHeight="1">
      <c r="B362" s="58"/>
    </row>
    <row r="363" ht="15.75" customHeight="1">
      <c r="B363" s="58"/>
    </row>
    <row r="364" ht="15.75" customHeight="1">
      <c r="B364" s="57"/>
    </row>
    <row r="365" ht="15.75" customHeight="1">
      <c r="B365" s="58"/>
    </row>
    <row r="366" ht="15.75" customHeight="1">
      <c r="B366" s="58"/>
    </row>
    <row r="367" ht="15.75" customHeight="1">
      <c r="B367" s="57"/>
    </row>
    <row r="368" ht="15.75" customHeight="1">
      <c r="B368" s="58"/>
    </row>
    <row r="369" ht="15.75" customHeight="1">
      <c r="B369" s="58"/>
    </row>
    <row r="370" ht="15.75" customHeight="1">
      <c r="B370" s="57"/>
    </row>
    <row r="371" ht="15.75" customHeight="1">
      <c r="B371" s="58"/>
    </row>
    <row r="372" ht="15.75" customHeight="1">
      <c r="B372" s="58"/>
    </row>
    <row r="373" ht="15.75" customHeight="1">
      <c r="B373" s="57"/>
    </row>
    <row r="374" ht="15.75" customHeight="1">
      <c r="B374" s="58"/>
    </row>
    <row r="375" ht="15.75" customHeight="1">
      <c r="B375" s="58"/>
    </row>
    <row r="376" ht="15.75" customHeight="1">
      <c r="B376" s="57"/>
    </row>
    <row r="377" ht="15.75" customHeight="1">
      <c r="B377" s="58"/>
    </row>
    <row r="378" ht="15.75" customHeight="1">
      <c r="B378" s="58"/>
    </row>
    <row r="379" ht="15.75" customHeight="1">
      <c r="B379" s="57"/>
    </row>
    <row r="380" ht="15.75" customHeight="1">
      <c r="B380" s="58"/>
    </row>
    <row r="381" ht="15.75" customHeight="1">
      <c r="B381" s="58"/>
    </row>
    <row r="382" ht="15.75" customHeight="1">
      <c r="B382" s="57"/>
    </row>
    <row r="383" ht="15.75" customHeight="1">
      <c r="B383" s="58"/>
    </row>
    <row r="384" ht="15.75" customHeight="1">
      <c r="B384" s="58"/>
    </row>
    <row r="385" ht="15.75" customHeight="1">
      <c r="B385" s="57"/>
    </row>
    <row r="386" ht="15.75" customHeight="1">
      <c r="B386" s="58"/>
    </row>
    <row r="387" ht="15.75" customHeight="1">
      <c r="B387" s="58"/>
    </row>
    <row r="388" ht="15.75" customHeight="1">
      <c r="B388" s="57"/>
    </row>
    <row r="389" ht="15.75" customHeight="1">
      <c r="B389" s="58"/>
    </row>
    <row r="390" ht="15.75" customHeight="1">
      <c r="B390" s="58"/>
    </row>
    <row r="391" ht="15.75" customHeight="1">
      <c r="B391" s="57"/>
    </row>
    <row r="392" ht="15.75" customHeight="1">
      <c r="B392" s="58"/>
    </row>
    <row r="393" ht="15.75" customHeight="1">
      <c r="B393" s="58"/>
    </row>
    <row r="394" ht="15.75" customHeight="1">
      <c r="B394" s="57"/>
    </row>
    <row r="395" ht="15.75" customHeight="1">
      <c r="B395" s="58"/>
    </row>
    <row r="396" ht="15.75" customHeight="1">
      <c r="B396" s="58"/>
    </row>
    <row r="397" ht="15.75" customHeight="1">
      <c r="B397" s="57"/>
    </row>
    <row r="398" ht="15.75" customHeight="1">
      <c r="B398" s="58"/>
    </row>
    <row r="399" ht="15.75" customHeight="1">
      <c r="B399" s="58"/>
    </row>
    <row r="400" ht="15.75" customHeight="1">
      <c r="B400" s="57"/>
    </row>
    <row r="401" ht="15.75" customHeight="1">
      <c r="B401" s="58"/>
    </row>
    <row r="402" ht="15.75" customHeight="1">
      <c r="B402" s="58"/>
    </row>
    <row r="403" ht="15.75" customHeight="1">
      <c r="B403" s="57"/>
    </row>
    <row r="404" ht="15.75" customHeight="1">
      <c r="B404" s="58"/>
    </row>
    <row r="405" ht="15.75" customHeight="1">
      <c r="B405" s="58"/>
    </row>
    <row r="406" ht="15.75" customHeight="1">
      <c r="B406" s="57"/>
    </row>
    <row r="407" ht="15.75" customHeight="1">
      <c r="B407" s="58"/>
    </row>
    <row r="408" ht="15.75" customHeight="1">
      <c r="B408" s="58"/>
    </row>
    <row r="409" ht="15.75" customHeight="1">
      <c r="B409" s="57"/>
    </row>
    <row r="410" ht="15.75" customHeight="1">
      <c r="B410" s="58"/>
    </row>
    <row r="411" ht="15.75" customHeight="1">
      <c r="B411" s="58"/>
    </row>
    <row r="412" ht="15.75" customHeight="1">
      <c r="B412" s="57"/>
    </row>
    <row r="413" ht="15.75" customHeight="1">
      <c r="B413" s="58"/>
    </row>
    <row r="414" ht="15.75" customHeight="1">
      <c r="B414" s="58"/>
    </row>
    <row r="415" ht="15.75" customHeight="1">
      <c r="B415" s="57"/>
    </row>
    <row r="416" ht="15.75" customHeight="1">
      <c r="B416" s="58"/>
    </row>
    <row r="417" ht="15.75" customHeight="1">
      <c r="B417" s="58"/>
    </row>
    <row r="418" ht="15.75" customHeight="1">
      <c r="B418" s="57"/>
    </row>
    <row r="419" ht="15.75" customHeight="1">
      <c r="B419" s="58"/>
    </row>
    <row r="420" ht="15.75" customHeight="1">
      <c r="B420" s="58"/>
    </row>
    <row r="421" ht="15.75" customHeight="1">
      <c r="B421" s="57"/>
    </row>
    <row r="422" ht="15.75" customHeight="1">
      <c r="B422" s="58"/>
    </row>
    <row r="423" ht="15.75" customHeight="1">
      <c r="B423" s="58"/>
    </row>
    <row r="424" ht="15.75" customHeight="1">
      <c r="B424" s="57"/>
    </row>
    <row r="425" ht="15.75" customHeight="1">
      <c r="B425" s="58"/>
    </row>
    <row r="426" ht="15.75" customHeight="1">
      <c r="B426" s="58"/>
    </row>
    <row r="427" ht="15.75" customHeight="1">
      <c r="B427" s="57"/>
    </row>
    <row r="428" ht="15.75" customHeight="1">
      <c r="B428" s="58"/>
    </row>
    <row r="429" ht="15.75" customHeight="1">
      <c r="B429" s="58"/>
    </row>
    <row r="430" ht="15.75" customHeight="1">
      <c r="B430" s="57"/>
    </row>
    <row r="431" ht="15.75" customHeight="1">
      <c r="B431" s="58"/>
    </row>
    <row r="432" ht="15.75" customHeight="1">
      <c r="B432" s="58"/>
    </row>
    <row r="433" ht="15.75" customHeight="1">
      <c r="B433" s="57"/>
    </row>
    <row r="434" ht="15.75" customHeight="1">
      <c r="B434" s="58"/>
    </row>
    <row r="435" ht="15.75" customHeight="1">
      <c r="B435" s="58"/>
    </row>
    <row r="436" ht="15.75" customHeight="1">
      <c r="B436" s="57"/>
    </row>
    <row r="437" ht="15.75" customHeight="1">
      <c r="B437" s="58"/>
    </row>
    <row r="438" ht="15.75" customHeight="1">
      <c r="B438" s="58"/>
    </row>
    <row r="439" ht="15.75" customHeight="1">
      <c r="B439" s="57"/>
    </row>
    <row r="440" ht="15.75" customHeight="1">
      <c r="B440" s="58"/>
    </row>
    <row r="441" ht="15.75" customHeight="1">
      <c r="B441" s="58"/>
    </row>
    <row r="442" ht="15.75" customHeight="1">
      <c r="B442" s="57"/>
    </row>
    <row r="443" ht="15.75" customHeight="1">
      <c r="B443" s="58"/>
    </row>
    <row r="444" ht="15.75" customHeight="1">
      <c r="B444" s="58"/>
    </row>
    <row r="445" ht="15.75" customHeight="1">
      <c r="B445" s="57"/>
    </row>
    <row r="446" ht="15.75" customHeight="1">
      <c r="B446" s="58"/>
    </row>
    <row r="447" ht="15.75" customHeight="1">
      <c r="B447" s="58"/>
    </row>
    <row r="448" ht="15.75" customHeight="1">
      <c r="B448" s="57"/>
    </row>
    <row r="449" ht="15.75" customHeight="1">
      <c r="B449" s="58"/>
    </row>
    <row r="450" ht="15.75" customHeight="1">
      <c r="B450" s="58"/>
    </row>
    <row r="451" ht="15.75" customHeight="1">
      <c r="B451" s="57"/>
    </row>
    <row r="452" ht="15.75" customHeight="1">
      <c r="B452" s="58"/>
    </row>
    <row r="453" ht="15.75" customHeight="1">
      <c r="B453" s="58"/>
    </row>
    <row r="454" ht="15.75" customHeight="1">
      <c r="B454" s="57"/>
    </row>
    <row r="455" ht="15.75" customHeight="1">
      <c r="B455" s="58"/>
    </row>
    <row r="456" ht="15.75" customHeight="1">
      <c r="B456" s="58"/>
    </row>
    <row r="457" ht="15.75" customHeight="1">
      <c r="B457" s="57"/>
    </row>
    <row r="458" ht="15.75" customHeight="1">
      <c r="B458" s="58"/>
    </row>
    <row r="459" ht="15.75" customHeight="1">
      <c r="B459" s="58"/>
    </row>
    <row r="460" ht="15.75" customHeight="1">
      <c r="B460" s="57"/>
    </row>
    <row r="461" ht="15.75" customHeight="1">
      <c r="B461" s="58"/>
    </row>
    <row r="462" ht="15.75" customHeight="1">
      <c r="B462" s="58"/>
    </row>
    <row r="463" ht="15.75" customHeight="1">
      <c r="B463" s="57"/>
    </row>
    <row r="464" ht="15.75" customHeight="1">
      <c r="B464" s="58"/>
    </row>
    <row r="465" ht="15.75" customHeight="1">
      <c r="B465" s="58"/>
    </row>
    <row r="466" ht="15.75" customHeight="1">
      <c r="B466" s="57"/>
    </row>
    <row r="467" ht="15.75" customHeight="1">
      <c r="B467" s="58"/>
    </row>
    <row r="468" ht="15.75" customHeight="1">
      <c r="B468" s="58"/>
    </row>
    <row r="469" ht="15.75" customHeight="1">
      <c r="B469" s="57"/>
    </row>
    <row r="470" ht="15.75" customHeight="1">
      <c r="B470" s="58"/>
    </row>
    <row r="471" ht="15.75" customHeight="1">
      <c r="B471" s="58"/>
    </row>
    <row r="472" ht="15.75" customHeight="1">
      <c r="B472" s="57"/>
    </row>
    <row r="473" ht="15.75" customHeight="1">
      <c r="B473" s="58"/>
    </row>
    <row r="474" ht="15.75" customHeight="1">
      <c r="B474" s="58"/>
    </row>
    <row r="475" ht="15.75" customHeight="1">
      <c r="B475" s="57"/>
    </row>
    <row r="476" ht="15.75" customHeight="1">
      <c r="B476" s="58"/>
    </row>
    <row r="477" ht="15.75" customHeight="1">
      <c r="B477" s="58"/>
    </row>
    <row r="478" ht="15.75" customHeight="1">
      <c r="B478" s="57"/>
    </row>
    <row r="479" ht="15.75" customHeight="1">
      <c r="B479" s="58"/>
    </row>
    <row r="480" ht="15.75" customHeight="1">
      <c r="B480" s="58"/>
    </row>
    <row r="481" ht="15.75" customHeight="1">
      <c r="B481" s="57"/>
    </row>
    <row r="482" ht="15.75" customHeight="1">
      <c r="B482" s="58"/>
    </row>
    <row r="483" ht="15.75" customHeight="1">
      <c r="B483" s="58"/>
    </row>
    <row r="484" ht="15.75" customHeight="1">
      <c r="B484" s="57"/>
    </row>
    <row r="485" ht="15.75" customHeight="1">
      <c r="B485" s="58"/>
    </row>
    <row r="486" ht="15.75" customHeight="1">
      <c r="B486" s="58"/>
    </row>
    <row r="487" ht="15.75" customHeight="1">
      <c r="B487" s="57"/>
    </row>
    <row r="488" ht="15.75" customHeight="1">
      <c r="B488" s="58"/>
    </row>
    <row r="489" ht="15.75" customHeight="1">
      <c r="B489" s="58"/>
    </row>
    <row r="490" ht="15.75" customHeight="1">
      <c r="B490" s="57"/>
    </row>
    <row r="491" ht="15.75" customHeight="1">
      <c r="B491" s="58"/>
    </row>
    <row r="492" ht="15.75" customHeight="1">
      <c r="B492" s="58"/>
    </row>
    <row r="493" ht="15.75" customHeight="1">
      <c r="B493" s="57"/>
    </row>
    <row r="494" ht="15.75" customHeight="1">
      <c r="B494" s="58"/>
    </row>
    <row r="495" ht="15.75" customHeight="1">
      <c r="B495" s="58"/>
    </row>
    <row r="496" ht="15.75" customHeight="1">
      <c r="B496" s="57"/>
    </row>
    <row r="497" ht="15.75" customHeight="1">
      <c r="B497" s="58"/>
    </row>
    <row r="498" ht="15.75" customHeight="1">
      <c r="B498" s="58"/>
    </row>
    <row r="499" ht="15.75" customHeight="1">
      <c r="B499" s="57"/>
    </row>
    <row r="500" ht="15.75" customHeight="1">
      <c r="B500" s="58"/>
    </row>
    <row r="501" ht="15.75" customHeight="1">
      <c r="B501" s="58"/>
    </row>
    <row r="502" ht="15.75" customHeight="1">
      <c r="B502" s="57"/>
    </row>
    <row r="503" ht="15.75" customHeight="1">
      <c r="B503" s="58"/>
    </row>
    <row r="504" ht="15.75" customHeight="1">
      <c r="B504" s="58"/>
    </row>
    <row r="505" ht="15.75" customHeight="1">
      <c r="B505" s="57"/>
    </row>
    <row r="506" ht="15.75" customHeight="1">
      <c r="B506" s="58"/>
    </row>
    <row r="507" ht="15.75" customHeight="1">
      <c r="B507" s="58"/>
    </row>
    <row r="508" ht="15.75" customHeight="1">
      <c r="B508" s="57"/>
    </row>
    <row r="509" ht="15.75" customHeight="1">
      <c r="B509" s="58"/>
    </row>
    <row r="510" ht="15.75" customHeight="1">
      <c r="B510" s="58"/>
    </row>
    <row r="511" ht="15.75" customHeight="1">
      <c r="B511" s="57"/>
    </row>
    <row r="512" ht="15.75" customHeight="1">
      <c r="B512" s="58"/>
    </row>
    <row r="513" ht="15.75" customHeight="1">
      <c r="B513" s="58"/>
    </row>
    <row r="514" ht="15.75" customHeight="1">
      <c r="B514" s="57"/>
    </row>
    <row r="515" ht="15.75" customHeight="1">
      <c r="B515" s="58"/>
    </row>
    <row r="516" ht="15.75" customHeight="1">
      <c r="B516" s="58"/>
    </row>
    <row r="517" ht="15.75" customHeight="1">
      <c r="B517" s="57"/>
    </row>
    <row r="518" ht="15.75" customHeight="1">
      <c r="B518" s="58"/>
    </row>
    <row r="519" ht="15.75" customHeight="1">
      <c r="B519" s="58"/>
    </row>
    <row r="520" ht="15.75" customHeight="1">
      <c r="B520" s="57"/>
    </row>
    <row r="521" ht="15.75" customHeight="1">
      <c r="B521" s="58"/>
    </row>
    <row r="522" ht="15.75" customHeight="1">
      <c r="B522" s="58"/>
    </row>
    <row r="523" ht="15.75" customHeight="1">
      <c r="B523" s="57"/>
    </row>
    <row r="524" ht="15.75" customHeight="1">
      <c r="B524" s="58"/>
    </row>
    <row r="525" ht="15.75" customHeight="1">
      <c r="B525" s="58"/>
    </row>
    <row r="526" ht="15.75" customHeight="1">
      <c r="B526" s="57"/>
    </row>
    <row r="527" ht="15.75" customHeight="1">
      <c r="B527" s="58"/>
    </row>
    <row r="528" ht="15.75" customHeight="1">
      <c r="B528" s="58"/>
    </row>
    <row r="529" ht="15.75" customHeight="1">
      <c r="B529" s="57"/>
    </row>
    <row r="530" ht="15.75" customHeight="1">
      <c r="B530" s="58"/>
    </row>
    <row r="531" ht="15.75" customHeight="1">
      <c r="B531" s="58"/>
    </row>
    <row r="532" ht="15.75" customHeight="1">
      <c r="B532" s="57"/>
    </row>
    <row r="533" ht="15.75" customHeight="1">
      <c r="B533" s="58"/>
    </row>
    <row r="534" ht="15.75" customHeight="1">
      <c r="B534" s="58"/>
    </row>
    <row r="535" ht="15.75" customHeight="1">
      <c r="B535" s="57"/>
    </row>
    <row r="536" ht="15.75" customHeight="1">
      <c r="B536" s="58"/>
    </row>
    <row r="537" ht="15.75" customHeight="1">
      <c r="B537" s="58"/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</sheetData>
  <mergeCells count="69">
    <mergeCell ref="G109:G110"/>
    <mergeCell ref="H109:H110"/>
    <mergeCell ref="A75:I75"/>
    <mergeCell ref="A82:I82"/>
    <mergeCell ref="A88:I88"/>
    <mergeCell ref="A99:I99"/>
    <mergeCell ref="A101:I101"/>
    <mergeCell ref="A108:I108"/>
    <mergeCell ref="A109:A110"/>
    <mergeCell ref="I109:I110"/>
    <mergeCell ref="A135:I135"/>
    <mergeCell ref="A140:I140"/>
    <mergeCell ref="A145:I145"/>
    <mergeCell ref="A150:I150"/>
    <mergeCell ref="A155:I155"/>
    <mergeCell ref="A160:I160"/>
    <mergeCell ref="A165:I165"/>
    <mergeCell ref="A191:I191"/>
    <mergeCell ref="A195:I195"/>
    <mergeCell ref="A201:I201"/>
    <mergeCell ref="A207:I207"/>
    <mergeCell ref="A213:I213"/>
    <mergeCell ref="A215:I215"/>
    <mergeCell ref="A170:I170"/>
    <mergeCell ref="A175:I175"/>
    <mergeCell ref="A177:I177"/>
    <mergeCell ref="A179:I179"/>
    <mergeCell ref="A181:I181"/>
    <mergeCell ref="A183:I183"/>
    <mergeCell ref="A187:I187"/>
    <mergeCell ref="C7:C8"/>
    <mergeCell ref="D7:D8"/>
    <mergeCell ref="A6:A8"/>
    <mergeCell ref="B6:B8"/>
    <mergeCell ref="C6:E6"/>
    <mergeCell ref="F6:F8"/>
    <mergeCell ref="G6:G8"/>
    <mergeCell ref="H6:H8"/>
    <mergeCell ref="I6:I8"/>
    <mergeCell ref="E7:E8"/>
    <mergeCell ref="A9:I9"/>
    <mergeCell ref="A10:I10"/>
    <mergeCell ref="A15:I15"/>
    <mergeCell ref="A17:I17"/>
    <mergeCell ref="A23:I23"/>
    <mergeCell ref="A25:I25"/>
    <mergeCell ref="A27:I27"/>
    <mergeCell ref="A31:I31"/>
    <mergeCell ref="A35:I35"/>
    <mergeCell ref="A39:I39"/>
    <mergeCell ref="A43:I43"/>
    <mergeCell ref="A47:I47"/>
    <mergeCell ref="A51:I51"/>
    <mergeCell ref="A55:I55"/>
    <mergeCell ref="A60:I60"/>
    <mergeCell ref="A61:I61"/>
    <mergeCell ref="A63:I63"/>
    <mergeCell ref="A65:I65"/>
    <mergeCell ref="A69:I69"/>
    <mergeCell ref="A73:I73"/>
    <mergeCell ref="B109:B110"/>
    <mergeCell ref="C109:C110"/>
    <mergeCell ref="D109:D110"/>
    <mergeCell ref="E109:E110"/>
    <mergeCell ref="A117:I117"/>
    <mergeCell ref="A118:I118"/>
    <mergeCell ref="A120:I120"/>
    <mergeCell ref="A125:I125"/>
    <mergeCell ref="A130:I130"/>
  </mergeCells>
  <conditionalFormatting sqref="I11:I14 I16 I18:I22 I24 I26 I28:I30 I32:I34 I36:I38 I40:I42 I44:I46 I48:I50 I52:I54 I56:I59 I62 I64 I66:I68 I70:I72 I74 I76:I81 I83:I87 I89:I98 I100 I102:I107 I109:I116 I119 I121:I124 I126:I129 I131:I134 I136:I139 I141:I144 I146:I149 I151:I154 I156:I159 I161:I164 I166:I169 I171:I174 I176 I178 I180 I182 I184:I186 I188:I190 I192:I194 I196:I200 I202:I206 I208:I212 I214 I216:I218">
    <cfRule type="containsText" dxfId="0" priority="1" operator="containsText" text="PASSED">
      <formula>NOT(ISERROR(SEARCH(("PASSED"),(I11))))</formula>
    </cfRule>
  </conditionalFormatting>
  <conditionalFormatting sqref="I11:I14 I16 I18:I22 I24 I26 I28:I30 I32:I34 I36:I38 I40:I42 I44:I46 I48:I50 I52:I54 I56:I59 I62 I64 I66:I68 I70:I72 I74 I76:I81 I83:I87 I89:I98 I100 I102:I107 I109:I116 I119 I121:I124 I126:I129 I131:I134 I136:I139 I141:I144 I146:I149 I151:I154 I156:I159 I161:I164 I166:I169 I171:I174 I176 I178 I180 I182 I184:I186 I188:I190 I192:I194 I196:I200 I202:I206 I208:I212 I214 I216:I218">
    <cfRule type="containsText" dxfId="1" priority="2" operator="containsText" text="FAILED">
      <formula>NOT(ISERROR(SEARCH(("FAILED"),(I11))))</formula>
    </cfRule>
  </conditionalFormatting>
  <dataValidations>
    <dataValidation type="list" allowBlank="1" sqref="I11:I14 I16 I18:I22 I24 I26 I28:I30 I32:I34 I36:I38 I40:I42 I44:I46 I48:I50 I52:I54 I56:I59 I62 I64 I66:I68 I70:I72 I74 I76:I81 I83:I87 I89:I98 I100 I102:I107 I109 I111:I116 I119 I121:I124 I126:I129 I131:I134 I136:I139 I141:I144 I146:I149 I151:I154 I156:I159 I161:I164 I166:I169 I171:I174 I176 I178 I180 I182 I184:I186 I188:I190 I192:I194 I196:I200 I202:I206 I208:I212 I214 I216:I218">
      <formula1>"PASSED,FAILED,SKIPPED,BLOCKED"</formula1>
    </dataValidation>
  </dataValidations>
  <hyperlinks>
    <hyperlink r:id="rId1" ref="C11"/>
    <hyperlink r:id="rId2" ref="C12"/>
    <hyperlink r:id="rId3" ref="C13"/>
    <hyperlink r:id="rId4" ref="C14"/>
    <hyperlink r:id="rId5" ref="C16"/>
    <hyperlink r:id="rId6" ref="C18"/>
    <hyperlink r:id="rId7" ref="C19"/>
    <hyperlink r:id="rId8" ref="C20"/>
    <hyperlink r:id="rId9" ref="C21"/>
    <hyperlink r:id="rId10" ref="C22"/>
    <hyperlink r:id="rId11" ref="C24"/>
    <hyperlink r:id="rId12" ref="C26"/>
    <hyperlink r:id="rId13" ref="C28"/>
    <hyperlink r:id="rId14" ref="C29"/>
    <hyperlink r:id="rId15" ref="C30"/>
    <hyperlink r:id="rId16" ref="C32"/>
    <hyperlink r:id="rId17" ref="C33"/>
    <hyperlink r:id="rId18" ref="C34"/>
    <hyperlink r:id="rId19" ref="C36"/>
    <hyperlink r:id="rId20" ref="C37"/>
    <hyperlink r:id="rId21" ref="C38"/>
    <hyperlink r:id="rId22" ref="C40"/>
    <hyperlink r:id="rId23" ref="C41"/>
    <hyperlink r:id="rId24" ref="C42"/>
    <hyperlink r:id="rId25" ref="C44"/>
    <hyperlink r:id="rId26" ref="C45"/>
    <hyperlink r:id="rId27" ref="C46"/>
    <hyperlink r:id="rId28" ref="C48"/>
    <hyperlink r:id="rId29" ref="C49"/>
    <hyperlink r:id="rId30" ref="C50"/>
    <hyperlink r:id="rId31" ref="C52"/>
    <hyperlink r:id="rId32" ref="C53"/>
    <hyperlink r:id="rId33" ref="C54"/>
    <hyperlink r:id="rId34" ref="C56"/>
    <hyperlink r:id="rId35" ref="C57"/>
    <hyperlink r:id="rId36" ref="C58"/>
    <hyperlink r:id="rId37" ref="C59"/>
    <hyperlink r:id="rId38" ref="C62"/>
    <hyperlink r:id="rId39" ref="C64"/>
    <hyperlink r:id="rId40" ref="C66"/>
    <hyperlink r:id="rId41" ref="C67"/>
    <hyperlink r:id="rId42" ref="C68"/>
    <hyperlink r:id="rId43" ref="C70"/>
    <hyperlink r:id="rId44" ref="C71"/>
    <hyperlink r:id="rId45" ref="C72"/>
    <hyperlink r:id="rId46" ref="C74"/>
    <hyperlink r:id="rId47" ref="C76"/>
    <hyperlink r:id="rId48" ref="C77"/>
    <hyperlink r:id="rId49" ref="C79"/>
    <hyperlink r:id="rId50" ref="C80"/>
    <hyperlink r:id="rId51" ref="C81"/>
    <hyperlink r:id="rId52" ref="C83"/>
    <hyperlink r:id="rId53" ref="C84"/>
    <hyperlink r:id="rId54" ref="C85"/>
    <hyperlink r:id="rId55" ref="C86"/>
    <hyperlink r:id="rId56" ref="C87"/>
    <hyperlink r:id="rId57" ref="C89"/>
    <hyperlink r:id="rId58" ref="C90"/>
    <hyperlink r:id="rId59" ref="C91"/>
    <hyperlink r:id="rId60" ref="C92"/>
    <hyperlink r:id="rId61" ref="C93"/>
    <hyperlink r:id="rId62" ref="C94"/>
    <hyperlink r:id="rId63" ref="C95"/>
    <hyperlink r:id="rId64" ref="C96"/>
    <hyperlink r:id="rId65" ref="C97"/>
    <hyperlink r:id="rId66" ref="C98"/>
    <hyperlink r:id="rId67" ref="C100"/>
    <hyperlink r:id="rId68" ref="C102"/>
    <hyperlink r:id="rId69" ref="C103"/>
    <hyperlink r:id="rId70" ref="C104"/>
    <hyperlink r:id="rId71" ref="C105"/>
    <hyperlink r:id="rId72" ref="C106"/>
    <hyperlink r:id="rId73" ref="C107"/>
    <hyperlink r:id="rId74" ref="C109"/>
    <hyperlink r:id="rId75" ref="C111"/>
    <hyperlink r:id="rId76" ref="C112"/>
    <hyperlink r:id="rId77" ref="C113"/>
    <hyperlink r:id="rId78" ref="C114"/>
    <hyperlink r:id="rId79" ref="C115"/>
    <hyperlink r:id="rId80" ref="C116"/>
    <hyperlink r:id="rId81" ref="C119"/>
    <hyperlink r:id="rId82" ref="C121"/>
    <hyperlink r:id="rId83" ref="C122"/>
    <hyperlink r:id="rId84" ref="C123"/>
    <hyperlink r:id="rId85" ref="C124"/>
    <hyperlink r:id="rId86" ref="C126"/>
    <hyperlink r:id="rId87" ref="C127"/>
    <hyperlink r:id="rId88" ref="C128"/>
    <hyperlink r:id="rId89" ref="C129"/>
    <hyperlink r:id="rId90" ref="C131"/>
    <hyperlink r:id="rId91" ref="C132"/>
    <hyperlink r:id="rId92" ref="C133"/>
    <hyperlink r:id="rId93" ref="C134"/>
    <hyperlink r:id="rId94" ref="C136"/>
    <hyperlink r:id="rId95" ref="C137"/>
    <hyperlink r:id="rId96" ref="C138"/>
    <hyperlink r:id="rId97" ref="C139"/>
    <hyperlink r:id="rId98" ref="C141"/>
    <hyperlink r:id="rId99" ref="C142"/>
    <hyperlink r:id="rId100" ref="C143"/>
    <hyperlink r:id="rId101" ref="C144"/>
    <hyperlink r:id="rId102" ref="C146"/>
    <hyperlink r:id="rId103" ref="C147"/>
    <hyperlink r:id="rId104" ref="C148"/>
    <hyperlink r:id="rId105" ref="C149"/>
    <hyperlink r:id="rId106" ref="C151"/>
    <hyperlink r:id="rId107" ref="C152"/>
    <hyperlink r:id="rId108" ref="C153"/>
    <hyperlink r:id="rId109" ref="C154"/>
    <hyperlink r:id="rId110" ref="C156"/>
    <hyperlink r:id="rId111" ref="C157"/>
    <hyperlink r:id="rId112" ref="C158"/>
    <hyperlink r:id="rId113" ref="C159"/>
    <hyperlink r:id="rId114" ref="C161"/>
    <hyperlink r:id="rId115" ref="C162"/>
    <hyperlink r:id="rId116" ref="C163"/>
    <hyperlink r:id="rId117" ref="C164"/>
    <hyperlink r:id="rId118" ref="C166"/>
    <hyperlink r:id="rId119" ref="C167"/>
    <hyperlink r:id="rId120" ref="C168"/>
    <hyperlink r:id="rId121" ref="C169"/>
    <hyperlink r:id="rId122" ref="C171"/>
    <hyperlink r:id="rId123" ref="C172"/>
    <hyperlink r:id="rId124" ref="C173"/>
    <hyperlink r:id="rId125" ref="C174"/>
    <hyperlink r:id="rId126" ref="C176"/>
    <hyperlink r:id="rId127" ref="C178"/>
    <hyperlink r:id="rId128" ref="C180"/>
    <hyperlink r:id="rId129" ref="C182"/>
    <hyperlink r:id="rId130" ref="C184"/>
    <hyperlink r:id="rId131" ref="C185"/>
    <hyperlink r:id="rId132" ref="C186"/>
    <hyperlink r:id="rId133" ref="C188"/>
    <hyperlink r:id="rId134" ref="C189"/>
    <hyperlink r:id="rId135" ref="C190"/>
    <hyperlink r:id="rId136" ref="C192"/>
    <hyperlink r:id="rId137" ref="C193"/>
    <hyperlink r:id="rId138" ref="C194"/>
    <hyperlink r:id="rId139" ref="C196"/>
    <hyperlink r:id="rId140" ref="C197"/>
    <hyperlink r:id="rId141" ref="C198"/>
    <hyperlink r:id="rId142" ref="C199"/>
    <hyperlink r:id="rId143" ref="C200"/>
    <hyperlink r:id="rId144" ref="C202"/>
    <hyperlink r:id="rId145" ref="C203"/>
    <hyperlink r:id="rId146" ref="C204"/>
    <hyperlink r:id="rId147" ref="C205"/>
    <hyperlink r:id="rId148" ref="C206"/>
    <hyperlink r:id="rId149" ref="C208"/>
    <hyperlink r:id="rId150" ref="C209"/>
    <hyperlink r:id="rId151" ref="C210"/>
    <hyperlink r:id="rId152" ref="C211"/>
    <hyperlink r:id="rId153" ref="C212"/>
    <hyperlink r:id="rId154" ref="C214"/>
    <hyperlink r:id="rId155" ref="C216"/>
    <hyperlink r:id="rId156" ref="C217"/>
    <hyperlink r:id="rId157" ref="C218"/>
  </hyperlinks>
  <drawing r:id="rId158"/>
</worksheet>
</file>